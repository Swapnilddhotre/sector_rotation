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Macro Scorecard" sheetId="1" state="visible" r:id="rId1"/>
    <sheet name="2. Sector Signals" sheetId="2" state="visible" r:id="rId2"/>
    <sheet name="3. Portfolio" sheetId="3" state="visible" r:id="rId3"/>
    <sheet name="4. Overrides" sheetId="4" state="visible" r:id="rId4"/>
    <sheet name="5. Backt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00"/>
    <numFmt numFmtId="166" formatCode="0.000"/>
    <numFmt numFmtId="167" formatCode="yyyy-mm-dd"/>
  </numFmts>
  <fonts count="11">
    <font>
      <name val="Calibri"/>
      <family val="2"/>
      <color theme="1"/>
      <sz val="11"/>
      <scheme val="minor"/>
    </font>
    <font>
      <b val="1"/>
      <color rgb="FFFFFFFF"/>
      <sz val="14"/>
    </font>
    <font>
      <i val="1"/>
      <color rgb="FFFFFFFF"/>
      <sz val="10"/>
    </font>
    <font>
      <b val="1"/>
      <color rgb="FFFFFFFF"/>
      <sz val="10"/>
    </font>
    <font>
      <b val="1"/>
      <color rgb="FF000000"/>
      <sz val="10"/>
    </font>
    <font>
      <color rgb="FF000000"/>
      <sz val="10"/>
    </font>
    <font>
      <b val="1"/>
      <color rgb="FFFFFFFF"/>
      <sz val="11"/>
    </font>
    <font>
      <i val="1"/>
      <color rgb="FF555555"/>
      <sz val="9"/>
    </font>
    <font>
      <b val="1"/>
      <color rgb="FF7F5F00"/>
      <sz val="10"/>
    </font>
    <font>
      <color rgb="FFFFFFFF"/>
      <sz val="10"/>
    </font>
    <font>
      <i val="1"/>
      <color rgb="FF444444"/>
      <sz val="9"/>
    </font>
  </fonts>
  <fills count="12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00B050"/>
      </patternFill>
    </fill>
    <fill>
      <patternFill patternType="solid">
        <fgColor rgb="FFFFC000"/>
      </patternFill>
    </fill>
    <fill>
      <patternFill patternType="solid">
        <fgColor rgb="FFFF0000"/>
      </patternFill>
    </fill>
    <fill>
      <patternFill patternType="solid">
        <fgColor rgb="FF92D050"/>
      </patternFill>
    </fill>
    <fill>
      <patternFill patternType="solid">
        <fgColor rgb="FFFF6600"/>
      </patternFill>
    </fill>
  </fills>
  <borders count="2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6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4" fontId="8" fillId="8" borderId="1" applyAlignment="1" pivotButton="0" quotePrefix="0" xfId="0">
      <alignment horizontal="center" vertical="center"/>
    </xf>
    <xf numFmtId="164" fontId="9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left" vertical="center"/>
    </xf>
    <xf numFmtId="165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6" fontId="5" fillId="6" borderId="1" applyAlignment="1" pivotButton="0" quotePrefix="0" xfId="0">
      <alignment horizontal="center" vertical="center"/>
    </xf>
    <xf numFmtId="2" fontId="5" fillId="6" borderId="1" applyAlignment="1" pivotButton="0" quotePrefix="0" xfId="0">
      <alignment horizontal="center" vertical="center"/>
    </xf>
    <xf numFmtId="166" fontId="3" fillId="7" borderId="1" applyAlignment="1" pivotButton="0" quotePrefix="0" xfId="0">
      <alignment horizontal="center" vertical="center"/>
    </xf>
    <xf numFmtId="2" fontId="3" fillId="7" borderId="1" applyAlignment="1" pivotButton="0" quotePrefix="0" xfId="0">
      <alignment horizontal="center" vertical="center"/>
    </xf>
    <xf numFmtId="164" fontId="3" fillId="9" borderId="1" applyAlignment="1" pivotButton="0" quotePrefix="0" xfId="0">
      <alignment horizontal="center" vertical="center"/>
    </xf>
    <xf numFmtId="166" fontId="8" fillId="8" borderId="1" applyAlignment="1" pivotButton="0" quotePrefix="0" xfId="0">
      <alignment horizontal="center" vertical="center"/>
    </xf>
    <xf numFmtId="2" fontId="3" fillId="9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166" fontId="9" fillId="7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164" fontId="4" fillId="10" borderId="1" applyAlignment="1" pivotButton="0" quotePrefix="0" xfId="0">
      <alignment horizontal="center" vertical="center"/>
    </xf>
    <xf numFmtId="166" fontId="5" fillId="10" borderId="1" applyAlignment="1" pivotButton="0" quotePrefix="0" xfId="0">
      <alignment horizontal="center" vertical="center"/>
    </xf>
    <xf numFmtId="164" fontId="5" fillId="10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164" fontId="4" fillId="8" borderId="1" applyAlignment="1" pivotButton="0" quotePrefix="0" xfId="0">
      <alignment horizontal="center" vertical="center"/>
    </xf>
    <xf numFmtId="166" fontId="5" fillId="8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9" fillId="11" borderId="1" applyAlignment="1" pivotButton="0" quotePrefix="0" xfId="0">
      <alignment horizontal="center" vertical="center"/>
    </xf>
    <xf numFmtId="164" fontId="3" fillId="11" borderId="1" applyAlignment="1" pivotButton="0" quotePrefix="0" xfId="0">
      <alignment horizontal="center" vertical="center"/>
    </xf>
    <xf numFmtId="166" fontId="9" fillId="11" borderId="1" applyAlignment="1" pivotButton="0" quotePrefix="0" xfId="0">
      <alignment horizontal="center" vertical="center"/>
    </xf>
    <xf numFmtId="164" fontId="9" fillId="11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center" vertical="center"/>
    </xf>
    <xf numFmtId="166" fontId="9" fillId="9" borderId="1" applyAlignment="1" pivotButton="0" quotePrefix="0" xfId="0">
      <alignment horizontal="center" vertical="center"/>
    </xf>
    <xf numFmtId="164" fontId="9" fillId="9" borderId="1" applyAlignment="1" pivotButton="0" quotePrefix="0" xfId="0">
      <alignment horizontal="center" vertical="center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Composite Scores — Top Sectors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'2. Sector Signals'!G5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'2. Sector Signals'!$B$6:$B$20</f>
            </numRef>
          </cat>
          <val>
            <numRef>
              <f>'2. Sector Signals'!$G$6:$G$20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Composite Score (0–100)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Cumulative Return: Portfolio vs Nifty 50</a:t>
            </a:r>
          </a:p>
        </rich>
      </tx>
    </title>
    <plotArea>
      <lineChart>
        <grouping val="standard"/>
        <ser>
          <idx val="0"/>
          <order val="0"/>
          <tx>
            <strRef>
              <f>'5. Backtest'!B29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'5. Backtest'!$B$30:$B$149</f>
            </numRef>
          </val>
        </ser>
        <ser>
          <idx val="1"/>
          <order val="1"/>
          <tx>
            <strRef>
              <f>'5. Backtest'!C29</f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'5. Backtest'!$C$30:$C$149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Cumulative Return (×)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4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28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42" customWidth="1" min="3" max="3"/>
    <col width="18" customWidth="1" min="4" max="4"/>
    <col width="18" customWidth="1" min="5" max="5"/>
  </cols>
  <sheetData>
    <row r="1" ht="30" customHeight="1">
      <c r="A1" s="1" t="inlineStr">
        <is>
          <t>INDIA MACRO SCORECARD</t>
        </is>
      </c>
    </row>
    <row r="2" ht="16" customHeight="1">
      <c r="A2" s="2" t="inlineStr">
        <is>
          <t>As of: 30 Jun 2026  |  Update monthly</t>
        </is>
      </c>
    </row>
    <row r="4" ht="18" customHeight="1">
      <c r="A4" s="3" t="inlineStr">
        <is>
          <t>Step 1: Score each indicator  (+1 = Bullish | 0 = Neutral | −1 = Bearish)</t>
        </is>
      </c>
    </row>
    <row r="5" ht="18" customHeight="1">
      <c r="A5" s="4" t="inlineStr">
        <is>
          <t>#</t>
        </is>
      </c>
      <c r="B5" s="4" t="inlineStr">
        <is>
          <t>Indicator</t>
        </is>
      </c>
      <c r="C5" s="4" t="inlineStr">
        <is>
          <t>Scoring Rule</t>
        </is>
      </c>
      <c r="D5" s="4" t="inlineStr">
        <is>
          <t>Current Value</t>
        </is>
      </c>
      <c r="E5" s="4" t="inlineStr">
        <is>
          <t>Score (+1/0/−1)</t>
        </is>
      </c>
    </row>
    <row r="6" ht="22" customHeight="1">
      <c r="A6" s="5" t="n">
        <v>1</v>
      </c>
      <c r="B6" s="6" t="inlineStr">
        <is>
          <t>IIP (Industrial Production MoM%)</t>
        </is>
      </c>
      <c r="C6" s="7" t="inlineStr">
        <is>
          <t>&gt;3%: +1  |  −1 to 3%: 0  |  &lt;−1%: −1</t>
        </is>
      </c>
      <c r="D6" s="8" t="n"/>
      <c r="E6" s="8" t="n"/>
    </row>
    <row r="7" ht="22" customHeight="1">
      <c r="A7" s="9" t="n">
        <v>2</v>
      </c>
      <c r="B7" s="10" t="inlineStr">
        <is>
          <t>PMI Manufacturing</t>
        </is>
      </c>
      <c r="C7" s="11" t="inlineStr">
        <is>
          <t>&gt;52: +1  |  50–52: 0  |  &lt;50: −1</t>
        </is>
      </c>
      <c r="D7" s="8" t="n"/>
      <c r="E7" s="8" t="n"/>
    </row>
    <row r="8" ht="22" customHeight="1">
      <c r="A8" s="5" t="n">
        <v>3</v>
      </c>
      <c r="B8" s="6" t="inlineStr">
        <is>
          <t>PMI Services</t>
        </is>
      </c>
      <c r="C8" s="7" t="inlineStr">
        <is>
          <t>&gt;54: +1  |  52–54: 0  |  &lt;52: −1</t>
        </is>
      </c>
      <c r="D8" s="8" t="n"/>
      <c r="E8" s="8" t="n"/>
    </row>
    <row r="9" ht="22" customHeight="1">
      <c r="A9" s="9" t="n">
        <v>4</v>
      </c>
      <c r="B9" s="10" t="inlineStr">
        <is>
          <t>RBI Repo Rate (direction)</t>
        </is>
      </c>
      <c r="C9" s="11" t="inlineStr">
        <is>
          <t>Falling/Hold: +1  |  Hiking: −1  |  Neutral: 0</t>
        </is>
      </c>
      <c r="D9" s="8" t="n"/>
      <c r="E9" s="8" t="n"/>
    </row>
    <row r="10" ht="22" customHeight="1">
      <c r="A10" s="5" t="n">
        <v>5</v>
      </c>
      <c r="B10" s="6" t="inlineStr">
        <is>
          <t>Yield Spread (10yr − 3m T-Bill)</t>
        </is>
      </c>
      <c r="C10" s="7" t="inlineStr">
        <is>
          <t>&gt;1.5%: +1  |  0–1.5%: 0  |  &lt;0% (inverted): −1</t>
        </is>
      </c>
      <c r="D10" s="8" t="n"/>
      <c r="E10" s="8" t="n"/>
    </row>
    <row r="11" ht="22" customHeight="1">
      <c r="A11" s="9" t="n">
        <v>6</v>
      </c>
      <c r="B11" s="10" t="inlineStr">
        <is>
          <t>Bank Credit Growth (YoY%)</t>
        </is>
      </c>
      <c r="C11" s="11" t="inlineStr">
        <is>
          <t>&gt;15%: +1  |  10–15%: 0  |  &lt;10%: −1</t>
        </is>
      </c>
      <c r="D11" s="8" t="n"/>
      <c r="E11" s="8" t="n"/>
    </row>
    <row r="12" ht="22" customHeight="1">
      <c r="A12" s="5" t="n">
        <v>7</v>
      </c>
      <c r="B12" s="6" t="inlineStr">
        <is>
          <t>CPI Inflation</t>
        </is>
      </c>
      <c r="C12" s="7" t="inlineStr">
        <is>
          <t>&lt;4.5%: +1  |  4.5–6%: 0  |  &gt;6%: −1</t>
        </is>
      </c>
      <c r="D12" s="8" t="n"/>
      <c r="E12" s="8" t="n"/>
    </row>
    <row r="13" ht="22" customHeight="1">
      <c r="A13" s="9" t="n">
        <v>8</v>
      </c>
      <c r="B13" s="10" t="inlineStr">
        <is>
          <t>FII Net Flows (USD mn, 30d rolling)</t>
        </is>
      </c>
      <c r="C13" s="11" t="inlineStr">
        <is>
          <t>Positive: +1  |  Small/zero: 0  |  Outflow: −1</t>
        </is>
      </c>
      <c r="D13" s="8" t="n"/>
      <c r="E13" s="8" t="n"/>
    </row>
    <row r="14" ht="22" customHeight="1">
      <c r="A14" s="5" t="n">
        <v>9</v>
      </c>
      <c r="B14" s="6" t="inlineStr">
        <is>
          <t>GST Collections (YoY%)</t>
        </is>
      </c>
      <c r="C14" s="7" t="inlineStr">
        <is>
          <t>&gt;12%: +1  |  6–12%: 0  |  &lt;6%: −1</t>
        </is>
      </c>
      <c r="D14" s="8" t="n"/>
      <c r="E14" s="8" t="n"/>
    </row>
    <row r="15" ht="22" customHeight="1">
      <c r="A15" s="9" t="n">
        <v>10</v>
      </c>
      <c r="B15" s="10" t="inlineStr">
        <is>
          <t>INR/USD (trend)</t>
        </is>
      </c>
      <c r="C15" s="11" t="inlineStr">
        <is>
          <t>Stable/appreciating: +1  |  Depreciating: −1  |  Volatile: 0</t>
        </is>
      </c>
      <c r="D15" s="8" t="n"/>
      <c r="E15" s="8" t="n"/>
    </row>
    <row r="16" ht="22" customHeight="1">
      <c r="A16" s="12" t="inlineStr">
        <is>
          <t>MACRO COMPOSITE SCORE  (average of 10 scores)</t>
        </is>
      </c>
      <c r="D16" s="13">
        <f>AVERAGE(E6:E15)</f>
        <v/>
      </c>
      <c r="E16" s="8" t="n"/>
    </row>
    <row r="17" ht="22" customHeight="1">
      <c r="A17" s="12" t="inlineStr">
        <is>
          <t>MACRO REGIME STAGE  (auto from composite)</t>
        </is>
      </c>
      <c r="D17" s="14" t="n"/>
      <c r="E17" s="15" t="inlineStr">
        <is>
          <t>Stage 2 — Mid Expansion</t>
        </is>
      </c>
    </row>
    <row r="19" ht="18" customHeight="1">
      <c r="A19" s="3" t="inlineStr">
        <is>
          <t>Step 2: Regime → Sector Playbook</t>
        </is>
      </c>
    </row>
    <row r="20" ht="18" customHeight="1">
      <c r="A20" s="4" t="inlineStr">
        <is>
          <t>Stage</t>
        </is>
      </c>
      <c r="B20" s="4" t="inlineStr">
        <is>
          <t>Label</t>
        </is>
      </c>
      <c r="C20" s="4" t="inlineStr">
        <is>
          <t>Sector Playbook</t>
        </is>
      </c>
    </row>
    <row r="21" ht="24" customHeight="1">
      <c r="A21" s="16" t="n">
        <v>1</v>
      </c>
      <c r="B21" s="10" t="inlineStr">
        <is>
          <t>Stage 1 — Early Expansion</t>
        </is>
      </c>
      <c r="C21" s="11" t="inlineStr">
        <is>
          <t>Overweight: Banks, Auto, Infra, Realty, Fin Services | Underweight: FMCG, Pharma</t>
        </is>
      </c>
    </row>
    <row r="22" ht="24" customHeight="1">
      <c r="A22" s="15" t="n">
        <v>2</v>
      </c>
      <c r="B22" s="17" t="inlineStr">
        <is>
          <t>Stage 2 — Mid Expansion</t>
        </is>
      </c>
      <c r="C22" s="18" t="inlineStr">
        <is>
          <t>Overweight: IT, Metal, Energy, Consumer Durables | Balanced on Banks | Reduce Defensive</t>
        </is>
      </c>
    </row>
    <row r="23" ht="24" customHeight="1">
      <c r="A23" s="16" t="n">
        <v>3</v>
      </c>
      <c r="B23" s="10" t="inlineStr">
        <is>
          <t>Stage 3 — Late Expansion / Transition</t>
        </is>
      </c>
      <c r="C23" s="11" t="inlineStr">
        <is>
          <t>Overweight: Energy, IT, Metal | Reduce Cyclicals | Start adding Pharma/Healthcare</t>
        </is>
      </c>
    </row>
    <row r="24" ht="24" customHeight="1">
      <c r="A24" s="19" t="n">
        <v>4</v>
      </c>
      <c r="B24" s="6" t="inlineStr">
        <is>
          <t>Stage 4 — Early Contraction</t>
        </is>
      </c>
      <c r="C24" s="7" t="inlineStr">
        <is>
          <t>Overweight: FMCG, Pharma, Healthcare | Reduce Banks, Auto, Realty</t>
        </is>
      </c>
    </row>
    <row r="25" ht="24" customHeight="1">
      <c r="A25" s="16" t="n">
        <v>5</v>
      </c>
      <c r="B25" s="10" t="inlineStr">
        <is>
          <t>Stage 5 — Deep Contraction</t>
        </is>
      </c>
      <c r="C25" s="11" t="inlineStr">
        <is>
          <t>Overweight: FMCG, Pharma, Rural Index | Minimal cyclical exposure</t>
        </is>
      </c>
    </row>
    <row r="27" ht="16" customHeight="1">
      <c r="A27" s="20" t="inlineStr">
        <is>
          <t>Note: Macro composite &gt; 0.6 → Stage 2 | 0.2–0.6 → Stage 1 | −0.2 to 0.2 → Stage 3 | −0.6 to −0.2 → Stage 4 | &lt; −0.6 → Stage 5</t>
        </is>
      </c>
    </row>
  </sheetData>
  <mergeCells count="13">
    <mergeCell ref="A4:E4"/>
    <mergeCell ref="A27:E27"/>
    <mergeCell ref="A2:E2"/>
    <mergeCell ref="C23:E23"/>
    <mergeCell ref="C22:E22"/>
    <mergeCell ref="A19:E19"/>
    <mergeCell ref="A17:C17"/>
    <mergeCell ref="A1:E1"/>
    <mergeCell ref="C25:E25"/>
    <mergeCell ref="C21:E21"/>
    <mergeCell ref="C20:E20"/>
    <mergeCell ref="A16:C16"/>
    <mergeCell ref="C24:E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2" customWidth="1" min="9" max="9"/>
  </cols>
  <sheetData>
    <row r="1" ht="30" customHeight="1">
      <c r="A1" s="1" t="inlineStr">
        <is>
          <t>SECTOR SIGNAL SCORECARD</t>
        </is>
      </c>
    </row>
    <row r="2" ht="16" customHeight="1">
      <c r="A2" s="2" t="inlineStr">
        <is>
          <t>As of: 30 Jun 2026  |  Regime: Stage 2 — Mid Expansion</t>
        </is>
      </c>
    </row>
    <row r="3" ht="18" customHeight="1">
      <c r="A3" s="21" t="inlineStr">
        <is>
          <t>Traffic Light Legend:</t>
        </is>
      </c>
      <c r="D3" s="15" t="inlineStr">
        <is>
          <t>BUY (Score ≥ 65)</t>
        </is>
      </c>
      <c r="E3" s="22" t="inlineStr">
        <is>
          <t>HOLD (40–64)</t>
        </is>
      </c>
      <c r="F3" s="23" t="inlineStr">
        <is>
          <t>AVOID (&lt; 40)</t>
        </is>
      </c>
    </row>
    <row r="4" ht="18" customHeight="1">
      <c r="A4" s="15" t="inlineStr">
        <is>
          <t>BUY: 12</t>
        </is>
      </c>
      <c r="C4" s="22" t="inlineStr">
        <is>
          <t>HOLD: 16</t>
        </is>
      </c>
      <c r="E4" s="23" t="inlineStr">
        <is>
          <t>AVOID: 0</t>
        </is>
      </c>
      <c r="G4" s="6" t="inlineStr">
        <is>
          <t>Total: 28 indices scored</t>
        </is>
      </c>
    </row>
    <row r="5" ht="30" customHeight="1">
      <c r="A5" s="24" t="inlineStr">
        <is>
          <t>Rank</t>
        </is>
      </c>
      <c r="B5" s="24" t="inlineStr">
        <is>
          <t>Index / Sector</t>
        </is>
      </c>
      <c r="C5" s="24" t="inlineStr">
        <is>
          <t>Momentum
(35%)</t>
        </is>
      </c>
      <c r="D5" s="24" t="inlineStr">
        <is>
          <t>Trend
(20%)</t>
        </is>
      </c>
      <c r="E5" s="24" t="inlineStr">
        <is>
          <t>Regime
(30%)</t>
        </is>
      </c>
      <c r="F5" s="24" t="inlineStr">
        <is>
          <t>Valuation
(15%)</t>
        </is>
      </c>
      <c r="G5" s="24" t="inlineStr">
        <is>
          <t>Composite
Score</t>
        </is>
      </c>
      <c r="H5" s="24" t="inlineStr">
        <is>
          <t>Signal</t>
        </is>
      </c>
      <c r="I5" s="24" t="inlineStr">
        <is>
          <t>Traffic
Light</t>
        </is>
      </c>
    </row>
    <row r="6" ht="18" customHeight="1">
      <c r="A6" s="5" t="n">
        <v>1</v>
      </c>
      <c r="B6" s="6" t="inlineStr">
        <is>
          <t>NIFTY CONSUMER DURABLES</t>
        </is>
      </c>
      <c r="C6" s="25" t="n">
        <v>91.2</v>
      </c>
      <c r="D6" s="25" t="n">
        <v>92.40000000000001</v>
      </c>
      <c r="E6" s="25" t="n">
        <v>100</v>
      </c>
      <c r="F6" s="25" t="n">
        <v>72.5</v>
      </c>
      <c r="G6" s="26" t="n">
        <v>91.3</v>
      </c>
      <c r="H6" s="15" t="inlineStr">
        <is>
          <t>BUY</t>
        </is>
      </c>
      <c r="I6" s="15" t="inlineStr">
        <is>
          <t>🟢</t>
        </is>
      </c>
    </row>
    <row r="7" ht="18" customHeight="1">
      <c r="A7" s="9" t="n">
        <v>2</v>
      </c>
      <c r="B7" s="10" t="inlineStr">
        <is>
          <t>NIFTY INDIA MANUFACTURING</t>
        </is>
      </c>
      <c r="C7" s="27" t="n">
        <v>78.09999999999999</v>
      </c>
      <c r="D7" s="27" t="n">
        <v>90.5</v>
      </c>
      <c r="E7" s="27" t="n">
        <v>100</v>
      </c>
      <c r="F7" s="27" t="n">
        <v>78.2</v>
      </c>
      <c r="G7" s="26" t="n">
        <v>87.2</v>
      </c>
      <c r="H7" s="15" t="inlineStr">
        <is>
          <t>BUY</t>
        </is>
      </c>
      <c r="I7" s="15" t="inlineStr">
        <is>
          <t>🟢</t>
        </is>
      </c>
    </row>
    <row r="8" ht="18" customHeight="1">
      <c r="A8" s="5" t="n">
        <v>3</v>
      </c>
      <c r="B8" s="6" t="inlineStr">
        <is>
          <t>NIFTY MOBILITY</t>
        </is>
      </c>
      <c r="C8" s="25" t="n">
        <v>94</v>
      </c>
      <c r="D8" s="25" t="n">
        <v>77.90000000000001</v>
      </c>
      <c r="E8" s="25" t="n">
        <v>100</v>
      </c>
      <c r="F8" s="25" t="n">
        <v>32.9</v>
      </c>
      <c r="G8" s="26" t="n">
        <v>83.40000000000001</v>
      </c>
      <c r="H8" s="15" t="inlineStr">
        <is>
          <t>BUY</t>
        </is>
      </c>
      <c r="I8" s="15" t="inlineStr">
        <is>
          <t>🟢</t>
        </is>
      </c>
    </row>
    <row r="9" ht="18" customHeight="1">
      <c r="A9" s="9" t="n">
        <v>4</v>
      </c>
      <c r="B9" s="10" t="inlineStr">
        <is>
          <t>NIFTY SMALLCAP 250</t>
        </is>
      </c>
      <c r="C9" s="27" t="n">
        <v>74.7</v>
      </c>
      <c r="D9" s="27" t="n">
        <v>77.8</v>
      </c>
      <c r="E9" s="27" t="n">
        <v>100</v>
      </c>
      <c r="F9" s="27" t="n">
        <v>24.8</v>
      </c>
      <c r="G9" s="26" t="n">
        <v>75.40000000000001</v>
      </c>
      <c r="H9" s="15" t="inlineStr">
        <is>
          <t>BUY</t>
        </is>
      </c>
      <c r="I9" s="15" t="inlineStr">
        <is>
          <t>🟢</t>
        </is>
      </c>
    </row>
    <row r="10" ht="18" customHeight="1">
      <c r="A10" s="5" t="n">
        <v>5</v>
      </c>
      <c r="B10" s="6" t="inlineStr">
        <is>
          <t>NIFTY BANK</t>
        </is>
      </c>
      <c r="C10" s="25" t="n">
        <v>48.1</v>
      </c>
      <c r="D10" s="25" t="n">
        <v>91.3</v>
      </c>
      <c r="E10" s="25" t="n">
        <v>100</v>
      </c>
      <c r="F10" s="25" t="n">
        <v>67.59999999999999</v>
      </c>
      <c r="G10" s="26" t="n">
        <v>75.2</v>
      </c>
      <c r="H10" s="15" t="inlineStr">
        <is>
          <t>BUY</t>
        </is>
      </c>
      <c r="I10" s="15" t="inlineStr">
        <is>
          <t>🟢</t>
        </is>
      </c>
    </row>
    <row r="11" ht="18" customHeight="1">
      <c r="A11" s="9" t="n">
        <v>6</v>
      </c>
      <c r="B11" s="10" t="inlineStr">
        <is>
          <t>NIFTY INDIA CONSUMPTION</t>
        </is>
      </c>
      <c r="C11" s="27" t="n">
        <v>64.8</v>
      </c>
      <c r="D11" s="27" t="n">
        <v>89.09999999999999</v>
      </c>
      <c r="E11" s="27" t="n">
        <v>100</v>
      </c>
      <c r="F11" s="27" t="n">
        <v>25.8</v>
      </c>
      <c r="G11" s="26" t="n">
        <v>74.40000000000001</v>
      </c>
      <c r="H11" s="15" t="inlineStr">
        <is>
          <t>BUY</t>
        </is>
      </c>
      <c r="I11" s="15" t="inlineStr">
        <is>
          <t>🟢</t>
        </is>
      </c>
    </row>
    <row r="12" ht="18" customHeight="1">
      <c r="A12" s="5" t="n">
        <v>7</v>
      </c>
      <c r="B12" s="6" t="inlineStr">
        <is>
          <t>NIFTY PRIVATE BANK</t>
        </is>
      </c>
      <c r="C12" s="25" t="n">
        <v>69.7</v>
      </c>
      <c r="D12" s="25" t="n">
        <v>43.4</v>
      </c>
      <c r="E12" s="25" t="n">
        <v>100</v>
      </c>
      <c r="F12" s="25" t="n">
        <v>53.8</v>
      </c>
      <c r="G12" s="26" t="n">
        <v>71.09999999999999</v>
      </c>
      <c r="H12" s="15" t="inlineStr">
        <is>
          <t>BUY</t>
        </is>
      </c>
      <c r="I12" s="15" t="inlineStr">
        <is>
          <t>🟢</t>
        </is>
      </c>
    </row>
    <row r="13" ht="18" customHeight="1">
      <c r="A13" s="9" t="n">
        <v>8</v>
      </c>
      <c r="B13" s="10" t="inlineStr">
        <is>
          <t>NIFTY INDIA DEFENCE</t>
        </is>
      </c>
      <c r="C13" s="27" t="n">
        <v>61</v>
      </c>
      <c r="D13" s="27" t="n">
        <v>33.9</v>
      </c>
      <c r="E13" s="27" t="n">
        <v>100</v>
      </c>
      <c r="F13" s="27" t="n">
        <v>83</v>
      </c>
      <c r="G13" s="26" t="n">
        <v>70.59999999999999</v>
      </c>
      <c r="H13" s="15" t="inlineStr">
        <is>
          <t>BUY</t>
        </is>
      </c>
      <c r="I13" s="15" t="inlineStr">
        <is>
          <t>🟢</t>
        </is>
      </c>
    </row>
    <row r="14" ht="18" customHeight="1">
      <c r="A14" s="5" t="n">
        <v>9</v>
      </c>
      <c r="B14" s="6" t="inlineStr">
        <is>
          <t>NIFTY INFRA</t>
        </is>
      </c>
      <c r="C14" s="25" t="n">
        <v>54.2</v>
      </c>
      <c r="D14" s="25" t="n">
        <v>78.90000000000001</v>
      </c>
      <c r="E14" s="25" t="n">
        <v>100</v>
      </c>
      <c r="F14" s="25" t="n">
        <v>33</v>
      </c>
      <c r="G14" s="26" t="n">
        <v>69.7</v>
      </c>
      <c r="H14" s="15" t="inlineStr">
        <is>
          <t>BUY</t>
        </is>
      </c>
      <c r="I14" s="15" t="inlineStr">
        <is>
          <t>🟢</t>
        </is>
      </c>
    </row>
    <row r="15" ht="18" customHeight="1">
      <c r="A15" s="9" t="n">
        <v>10</v>
      </c>
      <c r="B15" s="10" t="inlineStr">
        <is>
          <t>NIFTY HOUSING</t>
        </is>
      </c>
      <c r="C15" s="27" t="n">
        <v>49.2</v>
      </c>
      <c r="D15" s="27" t="n">
        <v>40.4</v>
      </c>
      <c r="E15" s="27" t="n">
        <v>100</v>
      </c>
      <c r="F15" s="27" t="n">
        <v>73.90000000000001</v>
      </c>
      <c r="G15" s="26" t="n">
        <v>66.40000000000001</v>
      </c>
      <c r="H15" s="15" t="inlineStr">
        <is>
          <t>BUY</t>
        </is>
      </c>
      <c r="I15" s="15" t="inlineStr">
        <is>
          <t>🟢</t>
        </is>
      </c>
    </row>
    <row r="16" ht="18" customHeight="1">
      <c r="A16" s="5" t="n">
        <v>11</v>
      </c>
      <c r="B16" s="6" t="inlineStr">
        <is>
          <t>NIFTY LARGE MIDCAP 250</t>
        </is>
      </c>
      <c r="C16" s="25" t="n">
        <v>66.7</v>
      </c>
      <c r="D16" s="25" t="n">
        <v>44.8</v>
      </c>
      <c r="E16" s="25" t="n">
        <v>100</v>
      </c>
      <c r="F16" s="25" t="n">
        <v>24.1</v>
      </c>
      <c r="G16" s="26" t="n">
        <v>65.90000000000001</v>
      </c>
      <c r="H16" s="15" t="inlineStr">
        <is>
          <t>BUY</t>
        </is>
      </c>
      <c r="I16" s="15" t="inlineStr">
        <is>
          <t>🟢</t>
        </is>
      </c>
    </row>
    <row r="17" ht="18" customHeight="1">
      <c r="A17" s="9" t="n">
        <v>12</v>
      </c>
      <c r="B17" s="10" t="inlineStr">
        <is>
          <t>NIFTY REALTY</t>
        </is>
      </c>
      <c r="C17" s="27" t="n">
        <v>52.4</v>
      </c>
      <c r="D17" s="27" t="n">
        <v>41.8</v>
      </c>
      <c r="E17" s="27" t="n">
        <v>100</v>
      </c>
      <c r="F17" s="27" t="n">
        <v>59.8</v>
      </c>
      <c r="G17" s="26" t="n">
        <v>65.7</v>
      </c>
      <c r="H17" s="15" t="inlineStr">
        <is>
          <t>BUY</t>
        </is>
      </c>
      <c r="I17" s="15" t="inlineStr">
        <is>
          <t>🟢</t>
        </is>
      </c>
    </row>
    <row r="18" ht="18" customHeight="1">
      <c r="A18" s="5" t="n">
        <v>13</v>
      </c>
      <c r="B18" s="6" t="inlineStr">
        <is>
          <t>NIFTY IT</t>
        </is>
      </c>
      <c r="C18" s="25" t="n">
        <v>24.4</v>
      </c>
      <c r="D18" s="25" t="n">
        <v>85</v>
      </c>
      <c r="E18" s="25" t="n">
        <v>100</v>
      </c>
      <c r="F18" s="25" t="n">
        <v>59.1</v>
      </c>
      <c r="G18" s="28" t="n">
        <v>64.40000000000001</v>
      </c>
      <c r="H18" s="22" t="inlineStr">
        <is>
          <t>HOLD</t>
        </is>
      </c>
      <c r="I18" s="22" t="inlineStr">
        <is>
          <t>🟡</t>
        </is>
      </c>
    </row>
    <row r="19" ht="18" customHeight="1">
      <c r="A19" s="9" t="n">
        <v>14</v>
      </c>
      <c r="B19" s="10" t="inlineStr">
        <is>
          <t>NIFTY TOTAL MARKET</t>
        </is>
      </c>
      <c r="C19" s="27" t="n">
        <v>46.9</v>
      </c>
      <c r="D19" s="27" t="n">
        <v>28.7</v>
      </c>
      <c r="E19" s="27" t="n">
        <v>100</v>
      </c>
      <c r="F19" s="27" t="n">
        <v>76.09999999999999</v>
      </c>
      <c r="G19" s="28" t="n">
        <v>63.6</v>
      </c>
      <c r="H19" s="22" t="inlineStr">
        <is>
          <t>HOLD</t>
        </is>
      </c>
      <c r="I19" s="22" t="inlineStr">
        <is>
          <t>🟡</t>
        </is>
      </c>
    </row>
    <row r="20" ht="18" customHeight="1">
      <c r="A20" s="5" t="n">
        <v>15</v>
      </c>
      <c r="B20" s="6" t="inlineStr">
        <is>
          <t>NIFTY AUTO</t>
        </is>
      </c>
      <c r="C20" s="25" t="n">
        <v>64.90000000000001</v>
      </c>
      <c r="D20" s="25" t="n">
        <v>31.7</v>
      </c>
      <c r="E20" s="25" t="n">
        <v>100</v>
      </c>
      <c r="F20" s="25" t="n">
        <v>30.1</v>
      </c>
      <c r="G20" s="28" t="n">
        <v>63.6</v>
      </c>
      <c r="H20" s="22" t="inlineStr">
        <is>
          <t>HOLD</t>
        </is>
      </c>
      <c r="I20" s="22" t="inlineStr">
        <is>
          <t>🟡</t>
        </is>
      </c>
    </row>
    <row r="21" ht="18" customHeight="1">
      <c r="A21" s="9" t="n">
        <v>16</v>
      </c>
      <c r="B21" s="10" t="inlineStr">
        <is>
          <t>NIFTY MIDCAP 150</t>
        </is>
      </c>
      <c r="C21" s="27" t="n">
        <v>20.4</v>
      </c>
      <c r="D21" s="27" t="n">
        <v>81.2</v>
      </c>
      <c r="E21" s="27" t="n">
        <v>100</v>
      </c>
      <c r="F21" s="27" t="n">
        <v>65.90000000000001</v>
      </c>
      <c r="G21" s="28" t="n">
        <v>63.3</v>
      </c>
      <c r="H21" s="22" t="inlineStr">
        <is>
          <t>HOLD</t>
        </is>
      </c>
      <c r="I21" s="22" t="inlineStr">
        <is>
          <t>🟡</t>
        </is>
      </c>
    </row>
    <row r="22" ht="18" customHeight="1">
      <c r="A22" s="5" t="n">
        <v>17</v>
      </c>
      <c r="B22" s="6" t="inlineStr">
        <is>
          <t>NIFTY FINANCIAL SERVICES</t>
        </is>
      </c>
      <c r="C22" s="25" t="n">
        <v>65.59999999999999</v>
      </c>
      <c r="D22" s="25" t="n">
        <v>32.8</v>
      </c>
      <c r="E22" s="25" t="n">
        <v>100</v>
      </c>
      <c r="F22" s="25" t="n">
        <v>24.2</v>
      </c>
      <c r="G22" s="28" t="n">
        <v>63.1</v>
      </c>
      <c r="H22" s="22" t="inlineStr">
        <is>
          <t>HOLD</t>
        </is>
      </c>
      <c r="I22" s="22" t="inlineStr">
        <is>
          <t>🟡</t>
        </is>
      </c>
    </row>
    <row r="23" ht="18" customHeight="1">
      <c r="A23" s="9" t="n">
        <v>18</v>
      </c>
      <c r="B23" s="10" t="inlineStr">
        <is>
          <t>NIFTY TRANSPORT &amp; LOGISTICS</t>
        </is>
      </c>
      <c r="C23" s="27" t="n">
        <v>46.8</v>
      </c>
      <c r="D23" s="27" t="n">
        <v>41.1</v>
      </c>
      <c r="E23" s="27" t="n">
        <v>100</v>
      </c>
      <c r="F23" s="27" t="n">
        <v>55.3</v>
      </c>
      <c r="G23" s="28" t="n">
        <v>62.9</v>
      </c>
      <c r="H23" s="22" t="inlineStr">
        <is>
          <t>HOLD</t>
        </is>
      </c>
      <c r="I23" s="22" t="inlineStr">
        <is>
          <t>🟡</t>
        </is>
      </c>
    </row>
    <row r="24" ht="18" customHeight="1">
      <c r="A24" s="5" t="n">
        <v>19</v>
      </c>
      <c r="B24" s="6" t="inlineStr">
        <is>
          <t>NIFTY PSU BANK</t>
        </is>
      </c>
      <c r="C24" s="25" t="n">
        <v>22.6</v>
      </c>
      <c r="D24" s="25" t="n">
        <v>88.2</v>
      </c>
      <c r="E24" s="25" t="n">
        <v>100</v>
      </c>
      <c r="F24" s="25" t="n">
        <v>36.8</v>
      </c>
      <c r="G24" s="28" t="n">
        <v>61.1</v>
      </c>
      <c r="H24" s="22" t="inlineStr">
        <is>
          <t>HOLD</t>
        </is>
      </c>
      <c r="I24" s="22" t="inlineStr">
        <is>
          <t>🟡</t>
        </is>
      </c>
    </row>
    <row r="25" ht="18" customHeight="1">
      <c r="A25" s="9" t="n">
        <v>20</v>
      </c>
      <c r="B25" s="10" t="inlineStr">
        <is>
          <t>NIFTY COMMODITIES</t>
        </is>
      </c>
      <c r="C25" s="27" t="n">
        <v>30.6</v>
      </c>
      <c r="D25" s="27" t="n">
        <v>80.2</v>
      </c>
      <c r="E25" s="27" t="n">
        <v>100</v>
      </c>
      <c r="F25" s="27" t="n">
        <v>24.8</v>
      </c>
      <c r="G25" s="28" t="n">
        <v>60.5</v>
      </c>
      <c r="H25" s="22" t="inlineStr">
        <is>
          <t>HOLD</t>
        </is>
      </c>
      <c r="I25" s="22" t="inlineStr">
        <is>
          <t>🟡</t>
        </is>
      </c>
    </row>
    <row r="26" ht="18" customHeight="1">
      <c r="A26" s="5" t="n">
        <v>21</v>
      </c>
      <c r="B26" s="6" t="inlineStr">
        <is>
          <t>NIFTY METAL</t>
        </is>
      </c>
      <c r="C26" s="25" t="n">
        <v>33.8</v>
      </c>
      <c r="D26" s="25" t="n">
        <v>42.8</v>
      </c>
      <c r="E26" s="25" t="n">
        <v>100</v>
      </c>
      <c r="F26" s="25" t="n">
        <v>54.1</v>
      </c>
      <c r="G26" s="28" t="n">
        <v>58.5</v>
      </c>
      <c r="H26" s="22" t="inlineStr">
        <is>
          <t>HOLD</t>
        </is>
      </c>
      <c r="I26" s="22" t="inlineStr">
        <is>
          <t>🟡</t>
        </is>
      </c>
    </row>
    <row r="27" ht="18" customHeight="1">
      <c r="A27" s="9" t="n">
        <v>22</v>
      </c>
      <c r="B27" s="10" t="inlineStr">
        <is>
          <t>NIFTY FMCG</t>
        </is>
      </c>
      <c r="C27" s="27" t="n">
        <v>73.09999999999999</v>
      </c>
      <c r="D27" s="27" t="n">
        <v>21.5</v>
      </c>
      <c r="E27" s="27" t="n">
        <v>50</v>
      </c>
      <c r="F27" s="27" t="n">
        <v>83</v>
      </c>
      <c r="G27" s="28" t="n">
        <v>57.3</v>
      </c>
      <c r="H27" s="22" t="inlineStr">
        <is>
          <t>HOLD</t>
        </is>
      </c>
      <c r="I27" s="22" t="inlineStr">
        <is>
          <t>🟡</t>
        </is>
      </c>
    </row>
    <row r="28" ht="18" customHeight="1">
      <c r="A28" s="5" t="n">
        <v>23</v>
      </c>
      <c r="B28" s="6" t="inlineStr">
        <is>
          <t>NIFTY PHARMA</t>
        </is>
      </c>
      <c r="C28" s="25" t="n">
        <v>82.40000000000001</v>
      </c>
      <c r="D28" s="25" t="n">
        <v>35.9</v>
      </c>
      <c r="E28" s="25" t="n">
        <v>50</v>
      </c>
      <c r="F28" s="25" t="n">
        <v>31.8</v>
      </c>
      <c r="G28" s="28" t="n">
        <v>55.8</v>
      </c>
      <c r="H28" s="22" t="inlineStr">
        <is>
          <t>HOLD</t>
        </is>
      </c>
      <c r="I28" s="22" t="inlineStr">
        <is>
          <t>🟡</t>
        </is>
      </c>
    </row>
    <row r="29" ht="18" customHeight="1">
      <c r="A29" s="9" t="n">
        <v>24</v>
      </c>
      <c r="B29" s="10" t="inlineStr">
        <is>
          <t>NIFTY CAPITAL MARKETS</t>
        </is>
      </c>
      <c r="C29" s="27" t="n">
        <v>34.7</v>
      </c>
      <c r="D29" s="27" t="n">
        <v>23.4</v>
      </c>
      <c r="E29" s="27" t="n">
        <v>100</v>
      </c>
      <c r="F29" s="27" t="n">
        <v>41.1</v>
      </c>
      <c r="G29" s="28" t="n">
        <v>53</v>
      </c>
      <c r="H29" s="22" t="inlineStr">
        <is>
          <t>HOLD</t>
        </is>
      </c>
      <c r="I29" s="22" t="inlineStr">
        <is>
          <t>🟡</t>
        </is>
      </c>
    </row>
    <row r="30" ht="18" customHeight="1">
      <c r="A30" s="5" t="n">
        <v>25</v>
      </c>
      <c r="B30" s="6" t="inlineStr">
        <is>
          <t>NIFTY MEDIA</t>
        </is>
      </c>
      <c r="C30" s="25" t="n">
        <v>58.6</v>
      </c>
      <c r="D30" s="25" t="n">
        <v>64.40000000000001</v>
      </c>
      <c r="E30" s="25" t="n">
        <v>50</v>
      </c>
      <c r="F30" s="25" t="n">
        <v>23</v>
      </c>
      <c r="G30" s="28" t="n">
        <v>51.8</v>
      </c>
      <c r="H30" s="22" t="inlineStr">
        <is>
          <t>HOLD</t>
        </is>
      </c>
      <c r="I30" s="22" t="inlineStr">
        <is>
          <t>🟡</t>
        </is>
      </c>
    </row>
    <row r="31" ht="18" customHeight="1">
      <c r="A31" s="9" t="n">
        <v>26</v>
      </c>
      <c r="B31" s="10" t="inlineStr">
        <is>
          <t>NIFTY OIL AND GAS</t>
        </is>
      </c>
      <c r="C31" s="27" t="n">
        <v>53</v>
      </c>
      <c r="D31" s="27" t="n">
        <v>29.2</v>
      </c>
      <c r="E31" s="27" t="n">
        <v>50</v>
      </c>
      <c r="F31" s="27" t="n">
        <v>52.2</v>
      </c>
      <c r="G31" s="28" t="n">
        <v>47.2</v>
      </c>
      <c r="H31" s="22" t="inlineStr">
        <is>
          <t>HOLD</t>
        </is>
      </c>
      <c r="I31" s="22" t="inlineStr">
        <is>
          <t>🟡</t>
        </is>
      </c>
    </row>
    <row r="32" ht="18" customHeight="1">
      <c r="A32" s="5" t="n">
        <v>27</v>
      </c>
      <c r="B32" s="6" t="inlineStr">
        <is>
          <t>NIFTY HEALTHCARE INDEX</t>
        </is>
      </c>
      <c r="C32" s="25" t="n">
        <v>42.8</v>
      </c>
      <c r="D32" s="25" t="n">
        <v>27.3</v>
      </c>
      <c r="E32" s="25" t="n">
        <v>50</v>
      </c>
      <c r="F32" s="25" t="n">
        <v>64.5</v>
      </c>
      <c r="G32" s="28" t="n">
        <v>45.1</v>
      </c>
      <c r="H32" s="22" t="inlineStr">
        <is>
          <t>HOLD</t>
        </is>
      </c>
      <c r="I32" s="22" t="inlineStr">
        <is>
          <t>🟡</t>
        </is>
      </c>
    </row>
    <row r="33" ht="18" customHeight="1">
      <c r="A33" s="9" t="n">
        <v>28</v>
      </c>
      <c r="B33" s="10" t="inlineStr">
        <is>
          <t>NIFTY ENERGY</t>
        </is>
      </c>
      <c r="C33" s="27" t="n">
        <v>30.5</v>
      </c>
      <c r="D33" s="27" t="n">
        <v>41.9</v>
      </c>
      <c r="E33" s="27" t="n">
        <v>50</v>
      </c>
      <c r="F33" s="27" t="n">
        <v>43.8</v>
      </c>
      <c r="G33" s="28" t="n">
        <v>40.6</v>
      </c>
      <c r="H33" s="22" t="inlineStr">
        <is>
          <t>HOLD</t>
        </is>
      </c>
      <c r="I33" s="22" t="inlineStr">
        <is>
          <t>🟡</t>
        </is>
      </c>
    </row>
  </sheetData>
  <mergeCells count="8">
    <mergeCell ref="A4:B4"/>
    <mergeCell ref="E4:F4"/>
    <mergeCell ref="A2:I2"/>
    <mergeCell ref="A1:I1"/>
    <mergeCell ref="G4:I4"/>
    <mergeCell ref="A3:C3"/>
    <mergeCell ref="G3:I3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0" customWidth="1" min="4" max="4"/>
    <col width="14" customWidth="1" min="5" max="5"/>
    <col width="18" customWidth="1" min="6" max="6"/>
    <col width="10" customWidth="1" min="7" max="7"/>
    <col width="10" customWidth="1" min="8" max="8"/>
  </cols>
  <sheetData>
    <row r="1" ht="30" customHeight="1">
      <c r="A1" s="1" t="inlineStr">
        <is>
          <t>PORTFOLIO vs SIGNALS</t>
        </is>
      </c>
    </row>
    <row r="2" ht="16" customHeight="1">
      <c r="A2" s="2" t="inlineStr">
        <is>
          <t>As of: 30 Jun 2026  |  Top-5 rotation targets</t>
        </is>
      </c>
    </row>
    <row r="3" ht="18" customHeight="1">
      <c r="A3" s="3" t="inlineStr">
        <is>
          <t>Signal-Recommended Portfolio  (Top 5 by Composite Score)</t>
        </is>
      </c>
    </row>
    <row r="4" ht="18" customHeight="1">
      <c r="A4" s="4" t="inlineStr">
        <is>
          <t>Rank</t>
        </is>
      </c>
      <c r="B4" s="4" t="inlineStr">
        <is>
          <t>Sector</t>
        </is>
      </c>
      <c r="C4" s="4" t="inlineStr">
        <is>
          <t>Composite</t>
        </is>
      </c>
      <c r="D4" s="4" t="inlineStr">
        <is>
          <t>Signal</t>
        </is>
      </c>
      <c r="E4" s="4" t="inlineStr">
        <is>
          <t>Equal Weight%</t>
        </is>
      </c>
      <c r="F4" s="4" t="inlineStr">
        <is>
          <t>Regime Alignment</t>
        </is>
      </c>
      <c r="G4" s="4" t="inlineStr">
        <is>
          <t>Momentum</t>
        </is>
      </c>
      <c r="H4" s="4" t="inlineStr">
        <is>
          <t>Trend</t>
        </is>
      </c>
    </row>
    <row r="5" ht="20" customHeight="1">
      <c r="A5" s="15" t="n">
        <v>1</v>
      </c>
      <c r="B5" s="17" t="inlineStr">
        <is>
          <t>NIFTY CONSUMER DURABLES</t>
        </is>
      </c>
      <c r="C5" s="26" t="n">
        <v>91.3</v>
      </c>
      <c r="D5" s="15" t="inlineStr">
        <is>
          <t>BUY</t>
        </is>
      </c>
      <c r="E5" s="26" t="n">
        <v>20</v>
      </c>
      <c r="F5" s="15" t="inlineStr">
        <is>
          <t>Favour</t>
        </is>
      </c>
      <c r="G5" s="29" t="n">
        <v>91.2</v>
      </c>
      <c r="H5" s="29" t="n">
        <v>92.40000000000001</v>
      </c>
    </row>
    <row r="6" ht="20" customHeight="1">
      <c r="A6" s="15" t="n">
        <v>2</v>
      </c>
      <c r="B6" s="17" t="inlineStr">
        <is>
          <t>NIFTY INDIA MANUFACTURING</t>
        </is>
      </c>
      <c r="C6" s="26" t="n">
        <v>87.2</v>
      </c>
      <c r="D6" s="15" t="inlineStr">
        <is>
          <t>BUY</t>
        </is>
      </c>
      <c r="E6" s="26" t="n">
        <v>20</v>
      </c>
      <c r="F6" s="15" t="inlineStr">
        <is>
          <t>Favour</t>
        </is>
      </c>
      <c r="G6" s="29" t="n">
        <v>78.09999999999999</v>
      </c>
      <c r="H6" s="29" t="n">
        <v>90.5</v>
      </c>
    </row>
    <row r="7" ht="20" customHeight="1">
      <c r="A7" s="15" t="n">
        <v>3</v>
      </c>
      <c r="B7" s="17" t="inlineStr">
        <is>
          <t>NIFTY MOBILITY</t>
        </is>
      </c>
      <c r="C7" s="26" t="n">
        <v>83.40000000000001</v>
      </c>
      <c r="D7" s="15" t="inlineStr">
        <is>
          <t>BUY</t>
        </is>
      </c>
      <c r="E7" s="26" t="n">
        <v>20</v>
      </c>
      <c r="F7" s="15" t="inlineStr">
        <is>
          <t>Favour</t>
        </is>
      </c>
      <c r="G7" s="29" t="n">
        <v>94</v>
      </c>
      <c r="H7" s="29" t="n">
        <v>77.90000000000001</v>
      </c>
    </row>
    <row r="8" ht="20" customHeight="1">
      <c r="A8" s="15" t="n">
        <v>4</v>
      </c>
      <c r="B8" s="17" t="inlineStr">
        <is>
          <t>NIFTY SMALLCAP 250</t>
        </is>
      </c>
      <c r="C8" s="26" t="n">
        <v>75.40000000000001</v>
      </c>
      <c r="D8" s="15" t="inlineStr">
        <is>
          <t>BUY</t>
        </is>
      </c>
      <c r="E8" s="26" t="n">
        <v>20</v>
      </c>
      <c r="F8" s="15" t="inlineStr">
        <is>
          <t>Favour</t>
        </is>
      </c>
      <c r="G8" s="29" t="n">
        <v>74.7</v>
      </c>
      <c r="H8" s="29" t="n">
        <v>77.8</v>
      </c>
    </row>
    <row r="9" ht="20" customHeight="1">
      <c r="A9" s="15" t="n">
        <v>5</v>
      </c>
      <c r="B9" s="17" t="inlineStr">
        <is>
          <t>NIFTY BANK</t>
        </is>
      </c>
      <c r="C9" s="26" t="n">
        <v>75.2</v>
      </c>
      <c r="D9" s="15" t="inlineStr">
        <is>
          <t>BUY</t>
        </is>
      </c>
      <c r="E9" s="26" t="n">
        <v>20</v>
      </c>
      <c r="F9" s="15" t="inlineStr">
        <is>
          <t>Favour</t>
        </is>
      </c>
      <c r="G9" s="29" t="n">
        <v>48.1</v>
      </c>
      <c r="H9" s="29" t="n">
        <v>91.3</v>
      </c>
    </row>
    <row r="12" ht="18" customHeight="1">
      <c r="A12" s="3" t="inlineStr">
        <is>
          <t>Current Holdings  (enter manually — compare vs recommendations above)</t>
        </is>
      </c>
    </row>
    <row r="13" ht="18" customHeight="1">
      <c r="A13" s="4" t="inlineStr">
        <is>
          <t>#</t>
        </is>
      </c>
      <c r="B13" s="4" t="inlineStr">
        <is>
          <t>Sector / Index</t>
        </is>
      </c>
      <c r="C13" s="4" t="inlineStr">
        <is>
          <t>Current Weight%</t>
        </is>
      </c>
      <c r="D13" s="4" t="inlineStr">
        <is>
          <t>Composite Score</t>
        </is>
      </c>
      <c r="E13" s="4" t="inlineStr">
        <is>
          <t>Signal</t>
        </is>
      </c>
      <c r="F13" s="4" t="inlineStr">
        <is>
          <t>Action</t>
        </is>
      </c>
      <c r="G13" s="4" t="inlineStr">
        <is>
          <t>Notes</t>
        </is>
      </c>
      <c r="H13" s="4" t="inlineStr"/>
    </row>
    <row r="14" ht="20" customHeight="1">
      <c r="A14" s="30" t="n">
        <v>1</v>
      </c>
      <c r="B14" s="8" t="n"/>
      <c r="C14" s="8" t="n"/>
      <c r="D14" s="8" t="n"/>
      <c r="E14" s="8" t="n"/>
      <c r="F14" s="8" t="n"/>
      <c r="G14" s="8" t="n"/>
      <c r="H14" s="8" t="n"/>
    </row>
    <row r="15" ht="20" customHeight="1">
      <c r="A15" s="16" t="n">
        <v>2</v>
      </c>
      <c r="B15" s="10" t="n"/>
      <c r="C15" s="10" t="n"/>
      <c r="D15" s="10" t="n"/>
      <c r="E15" s="10" t="n"/>
      <c r="F15" s="10" t="n"/>
      <c r="G15" s="10" t="n"/>
      <c r="H15" s="10" t="n"/>
    </row>
    <row r="16" ht="20" customHeight="1">
      <c r="A16" s="30" t="n">
        <v>3</v>
      </c>
      <c r="B16" s="8" t="n"/>
      <c r="C16" s="8" t="n"/>
      <c r="D16" s="8" t="n"/>
      <c r="E16" s="8" t="n"/>
      <c r="F16" s="8" t="n"/>
      <c r="G16" s="8" t="n"/>
      <c r="H16" s="8" t="n"/>
    </row>
    <row r="17" ht="20" customHeight="1">
      <c r="A17" s="16" t="n">
        <v>4</v>
      </c>
      <c r="B17" s="10" t="n"/>
      <c r="C17" s="10" t="n"/>
      <c r="D17" s="10" t="n"/>
      <c r="E17" s="10" t="n"/>
      <c r="F17" s="10" t="n"/>
      <c r="G17" s="10" t="n"/>
      <c r="H17" s="10" t="n"/>
    </row>
    <row r="18" ht="20" customHeight="1">
      <c r="A18" s="30" t="n">
        <v>5</v>
      </c>
      <c r="B18" s="8" t="n"/>
      <c r="C18" s="8" t="n"/>
      <c r="D18" s="8" t="n"/>
      <c r="E18" s="8" t="n"/>
      <c r="F18" s="8" t="n"/>
      <c r="G18" s="8" t="n"/>
      <c r="H18" s="8" t="n"/>
    </row>
    <row r="19" ht="20" customHeight="1">
      <c r="A19" s="16" t="n">
        <v>6</v>
      </c>
      <c r="B19" s="10" t="n"/>
      <c r="C19" s="10" t="n"/>
      <c r="D19" s="10" t="n"/>
      <c r="E19" s="10" t="n"/>
      <c r="F19" s="10" t="n"/>
      <c r="G19" s="10" t="n"/>
      <c r="H19" s="10" t="n"/>
    </row>
    <row r="20" ht="20" customHeight="1">
      <c r="A20" s="30" t="n">
        <v>7</v>
      </c>
      <c r="B20" s="8" t="n"/>
      <c r="C20" s="8" t="n"/>
      <c r="D20" s="8" t="n"/>
      <c r="E20" s="8" t="n"/>
      <c r="F20" s="8" t="n"/>
      <c r="G20" s="8" t="n"/>
      <c r="H20" s="8" t="n"/>
    </row>
    <row r="21" ht="20" customHeight="1">
      <c r="A21" s="16" t="n">
        <v>8</v>
      </c>
      <c r="B21" s="10" t="n"/>
      <c r="C21" s="10" t="n"/>
      <c r="D21" s="10" t="n"/>
      <c r="E21" s="10" t="n"/>
      <c r="F21" s="10" t="n"/>
      <c r="G21" s="10" t="n"/>
      <c r="H21" s="10" t="n"/>
    </row>
    <row r="23" ht="18" customHeight="1">
      <c r="A23" s="31" t="inlineStr">
        <is>
          <t>Rotation Candidates  (indices just outside Top-N, watch for entry)</t>
        </is>
      </c>
    </row>
    <row r="24" ht="18" customHeight="1">
      <c r="A24" s="4" t="inlineStr">
        <is>
          <t>Rank</t>
        </is>
      </c>
      <c r="B24" s="4" t="inlineStr">
        <is>
          <t>Sector</t>
        </is>
      </c>
      <c r="C24" s="4" t="inlineStr">
        <is>
          <t>Composite</t>
        </is>
      </c>
      <c r="D24" s="4" t="inlineStr">
        <is>
          <t>Signal</t>
        </is>
      </c>
      <c r="E24" s="4" t="inlineStr">
        <is>
          <t>vs #5 Gap</t>
        </is>
      </c>
      <c r="F24" s="4" t="inlineStr">
        <is>
          <t>Watch</t>
        </is>
      </c>
      <c r="G24" s="4" t="inlineStr"/>
      <c r="H24" s="4" t="inlineStr"/>
    </row>
    <row r="25" ht="18" customHeight="1">
      <c r="A25" s="32" t="n">
        <v>6</v>
      </c>
      <c r="B25" s="33" t="inlineStr">
        <is>
          <t>NIFTY INDIA CONSUMPTION</t>
        </is>
      </c>
      <c r="C25" s="34" t="n">
        <v>74.40000000000001</v>
      </c>
      <c r="D25" s="32" t="inlineStr">
        <is>
          <t>BUY</t>
        </is>
      </c>
      <c r="E25" s="32" t="inlineStr">
        <is>
          <t>−0.8</t>
        </is>
      </c>
      <c r="F25" s="32" t="inlineStr">
        <is>
          <t>⚠ Close</t>
        </is>
      </c>
    </row>
    <row r="26" ht="18" customHeight="1">
      <c r="A26" s="32" t="n">
        <v>7</v>
      </c>
      <c r="B26" s="33" t="inlineStr">
        <is>
          <t>NIFTY PRIVATE BANK</t>
        </is>
      </c>
      <c r="C26" s="34" t="n">
        <v>71.09999999999999</v>
      </c>
      <c r="D26" s="32" t="inlineStr">
        <is>
          <t>BUY</t>
        </is>
      </c>
      <c r="E26" s="32" t="inlineStr">
        <is>
          <t>−4.1</t>
        </is>
      </c>
      <c r="F26" s="32" t="inlineStr">
        <is>
          <t>⚠ Close</t>
        </is>
      </c>
    </row>
    <row r="27" ht="18" customHeight="1">
      <c r="A27" s="32" t="n">
        <v>8</v>
      </c>
      <c r="B27" s="33" t="inlineStr">
        <is>
          <t>NIFTY INDIA DEFENCE</t>
        </is>
      </c>
      <c r="C27" s="34" t="n">
        <v>70.59999999999999</v>
      </c>
      <c r="D27" s="32" t="inlineStr">
        <is>
          <t>BUY</t>
        </is>
      </c>
      <c r="E27" s="32" t="inlineStr">
        <is>
          <t>−4.6</t>
        </is>
      </c>
      <c r="F27" s="32" t="inlineStr">
        <is>
          <t>⚠ Close</t>
        </is>
      </c>
    </row>
    <row r="28" ht="18" customHeight="1">
      <c r="A28" s="16" t="n">
        <v>9</v>
      </c>
      <c r="B28" s="10" t="inlineStr">
        <is>
          <t>NIFTY INFRA</t>
        </is>
      </c>
      <c r="C28" s="27" t="n">
        <v>69.7</v>
      </c>
      <c r="D28" s="16" t="inlineStr">
        <is>
          <t>BUY</t>
        </is>
      </c>
      <c r="E28" s="16" t="inlineStr">
        <is>
          <t>−5.5</t>
        </is>
      </c>
      <c r="F28" s="16" t="inlineStr"/>
    </row>
    <row r="29" ht="18" customHeight="1">
      <c r="A29" s="19" t="n">
        <v>10</v>
      </c>
      <c r="B29" s="6" t="inlineStr">
        <is>
          <t>NIFTY HOUSING</t>
        </is>
      </c>
      <c r="C29" s="25" t="n">
        <v>66.40000000000001</v>
      </c>
      <c r="D29" s="19" t="inlineStr">
        <is>
          <t>BUY</t>
        </is>
      </c>
      <c r="E29" s="19" t="inlineStr">
        <is>
          <t>−8.8</t>
        </is>
      </c>
      <c r="F29" s="19" t="inlineStr"/>
    </row>
  </sheetData>
  <mergeCells count="5">
    <mergeCell ref="A12:H12"/>
    <mergeCell ref="A3:H3"/>
    <mergeCell ref="A2:H2"/>
    <mergeCell ref="A1:H1"/>
    <mergeCell ref="A23:H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36" customWidth="1" min="4" max="4"/>
    <col width="28" customWidth="1" min="5" max="5"/>
    <col width="14" customWidth="1" min="6" max="6"/>
  </cols>
  <sheetData>
    <row r="1" ht="30" customHeight="1">
      <c r="A1" s="1" t="inlineStr">
        <is>
          <t>INDIA-SPECIFIC OVERRIDE FLAGS</t>
        </is>
      </c>
    </row>
    <row r="2" ht="16" customHeight="1">
      <c r="A2" s="2" t="inlineStr">
        <is>
          <t>As of: 30 Jun 2026  |  Update monthly</t>
        </is>
      </c>
    </row>
    <row r="3" ht="24" customHeight="1">
      <c r="A3" s="35" t="inlineStr">
        <is>
          <t>India-specific factors that override the quantitative model signal. Review monthly and before each portfolio rebalance.</t>
        </is>
      </c>
    </row>
    <row r="4" ht="20" customHeight="1">
      <c r="A4" s="4" t="inlineStr">
        <is>
          <t>Flag</t>
        </is>
      </c>
      <c r="B4" s="4" t="inlineStr">
        <is>
          <t>Description</t>
        </is>
      </c>
      <c r="C4" s="4" t="inlineStr">
        <is>
          <t>Trigger Condition</t>
        </is>
      </c>
      <c r="D4" s="4" t="inlineStr">
        <is>
          <t>Sector Impact</t>
        </is>
      </c>
      <c r="E4" s="4" t="inlineStr">
        <is>
          <t>Override Action</t>
        </is>
      </c>
      <c r="F4" s="4" t="inlineStr">
        <is>
          <t>Active? (Y/N)</t>
        </is>
      </c>
    </row>
    <row r="5" ht="40" customHeight="1">
      <c r="A5" s="36" t="inlineStr">
        <is>
          <t>FII Flow Trend</t>
        </is>
      </c>
      <c r="B5" s="7" t="inlineStr">
        <is>
          <t>30-day rolling FII net flow direction</t>
        </is>
      </c>
      <c r="C5" s="7" t="inlineStr">
        <is>
          <t>Net outflow &gt; USD 1bn in 30 days</t>
        </is>
      </c>
      <c r="D5" s="7" t="inlineStr">
        <is>
          <t>FII outflow → Favour IT/Pharma (USD earners); reduce Banks/Realty</t>
        </is>
      </c>
      <c r="E5" s="7" t="inlineStr">
        <is>
          <t>Rotate to defensive USD earners</t>
        </is>
      </c>
      <c r="F5" s="14" t="inlineStr">
        <is>
          <t>N</t>
        </is>
      </c>
    </row>
    <row r="6" ht="40" customHeight="1">
      <c r="A6" s="21" t="inlineStr">
        <is>
          <t>INR/USD Depreciation</t>
        </is>
      </c>
      <c r="B6" s="11" t="inlineStr">
        <is>
          <t>INR move vs USD over 30 days</t>
        </is>
      </c>
      <c r="C6" s="11" t="inlineStr">
        <is>
          <t>INR weaker by &gt;2% in 30 days</t>
        </is>
      </c>
      <c r="D6" s="11" t="inlineStr">
        <is>
          <t>Favour IT, Pharma exports; avoid import-heavy: Auto, Energy, Airlines</t>
        </is>
      </c>
      <c r="E6" s="11" t="inlineStr">
        <is>
          <t>Tilt to IT/Pharma exporters</t>
        </is>
      </c>
      <c r="F6" s="14" t="inlineStr">
        <is>
          <t>N</t>
        </is>
      </c>
    </row>
    <row r="7" ht="40" customHeight="1">
      <c r="A7" s="36" t="inlineStr">
        <is>
          <t>Monsoon Flag</t>
        </is>
      </c>
      <c r="B7" s="7" t="inlineStr">
        <is>
          <t>IMD June forecast / realtime rainfall</t>
        </is>
      </c>
      <c r="C7" s="7" t="inlineStr">
        <is>
          <t>Below-normal monsoon forecast</t>
        </is>
      </c>
      <c r="D7" s="7" t="inlineStr">
        <is>
          <t>Negative: FMCG rural, Fertiliser, Rural Index; Positive: Pharma, IT</t>
        </is>
      </c>
      <c r="E7" s="7" t="inlineStr">
        <is>
          <t>Reduce rural-consumption exposure</t>
        </is>
      </c>
      <c r="F7" s="14" t="inlineStr">
        <is>
          <t>N</t>
        </is>
      </c>
    </row>
    <row r="8" ht="40" customHeight="1">
      <c r="A8" s="21" t="inlineStr">
        <is>
          <t>Union Budget</t>
        </is>
      </c>
      <c r="B8" s="11" t="inlineStr">
        <is>
          <t>Union Budget sector allocations (Feb)</t>
        </is>
      </c>
      <c r="C8" s="11" t="inlineStr">
        <is>
          <t>Post-budget: capex boost / sector tax changes</t>
        </is>
      </c>
      <c r="D8" s="11" t="inlineStr">
        <is>
          <t>Favoured: Infra, Defence, Capex plays if budget pro-growth</t>
        </is>
      </c>
      <c r="E8" s="11" t="inlineStr">
        <is>
          <t>Align with budget sector beneficiaries</t>
        </is>
      </c>
      <c r="F8" s="14" t="inlineStr">
        <is>
          <t>N</t>
        </is>
      </c>
    </row>
    <row r="9" ht="40" customHeight="1">
      <c r="A9" s="36" t="inlineStr">
        <is>
          <t>RBI Policy Surprise</t>
        </is>
      </c>
      <c r="B9" s="7" t="inlineStr">
        <is>
          <t>RBI MPC decision vs market expectations</t>
        </is>
      </c>
      <c r="C9" s="7" t="inlineStr">
        <is>
          <t>Rate cut &gt; 50bps surprise OR hawkish hold</t>
        </is>
      </c>
      <c r="D9" s="7" t="inlineStr">
        <is>
          <t>Unexpected cut: Banks, Realty, Fin Services | Hawkish: FMCG, IT defensive</t>
        </is>
      </c>
      <c r="E9" s="7" t="inlineStr">
        <is>
          <t>Adjust Banks/Realty vs IT weighting</t>
        </is>
      </c>
      <c r="F9" s="14" t="inlineStr">
        <is>
          <t>N</t>
        </is>
      </c>
    </row>
    <row r="10" ht="40" customHeight="1">
      <c r="A10" s="21" t="inlineStr">
        <is>
          <t>Q1/Q2/Q3/Q4 Earnings Season</t>
        </is>
      </c>
      <c r="B10" s="11" t="inlineStr">
        <is>
          <t>Earnings season sector beats/misses</t>
        </is>
      </c>
      <c r="C10" s="11" t="inlineStr">
        <is>
          <t>Earnings surprises in key sectors</t>
        </is>
      </c>
      <c r="D10" s="11" t="inlineStr">
        <is>
          <t>Overweight sectors with beats; reduce sectors missing on margins</t>
        </is>
      </c>
      <c r="E10" s="11" t="inlineStr">
        <is>
          <t>Review composite scores post-earnings</t>
        </is>
      </c>
      <c r="F10" s="14" t="inlineStr">
        <is>
          <t>N</t>
        </is>
      </c>
    </row>
    <row r="11" ht="40" customHeight="1">
      <c r="A11" s="36" t="inlineStr">
        <is>
          <t>Election Calendar</t>
        </is>
      </c>
      <c r="B11" s="7" t="inlineStr">
        <is>
          <t>State/General election cycle</t>
        </is>
      </c>
      <c r="C11" s="7" t="inlineStr">
        <is>
          <t>Pre-election: infra, populist spending | Post-election: reforms</t>
        </is>
      </c>
      <c r="D11" s="7" t="inlineStr">
        <is>
          <t>Pre-election: Infra, PSU, Rural | Post-election: Private Banks, IT</t>
        </is>
      </c>
      <c r="E11" s="7" t="inlineStr">
        <is>
          <t>Flag if within 3 months of major election</t>
        </is>
      </c>
      <c r="F11" s="14" t="inlineStr">
        <is>
          <t>N</t>
        </is>
      </c>
    </row>
    <row r="12" ht="40" customHeight="1">
      <c r="A12" s="21" t="inlineStr">
        <is>
          <t>Global Risk-Off Signal</t>
        </is>
      </c>
      <c r="B12" s="11" t="inlineStr">
        <is>
          <t>VIX spike, EM outflows, USD strength</t>
        </is>
      </c>
      <c r="C12" s="11" t="inlineStr">
        <is>
          <t>VIX &gt; 25 and DXY rally &gt; 3% in 30d</t>
        </is>
      </c>
      <c r="D12" s="11" t="inlineStr">
        <is>
          <t>Reduce cyclicals; overweight FMCG, Pharma, IT (USD earner)</t>
        </is>
      </c>
      <c r="E12" s="11" t="inlineStr">
        <is>
          <t>Defensive rotation across the board</t>
        </is>
      </c>
      <c r="F12" s="14" t="inlineStr">
        <is>
          <t>N</t>
        </is>
      </c>
    </row>
    <row r="15" ht="20" customHeight="1">
      <c r="A15" s="37" t="inlineStr">
        <is>
          <t>Discretionary Notes / Human Review Layer</t>
        </is>
      </c>
    </row>
    <row r="16" ht="18" customHeight="1">
      <c r="A16" s="38" t="inlineStr">
        <is>
          <t>Date</t>
        </is>
      </c>
      <c r="B16" s="38" t="inlineStr">
        <is>
          <t>Notes / Override Rationale</t>
        </is>
      </c>
    </row>
    <row r="17" ht="30" customHeight="1">
      <c r="A17" s="8" t="n"/>
      <c r="B17" s="8" t="n"/>
    </row>
    <row r="18" ht="30" customHeight="1">
      <c r="A18" s="8" t="n"/>
      <c r="B18" s="8" t="n"/>
    </row>
    <row r="19" ht="30" customHeight="1">
      <c r="A19" s="8" t="n"/>
      <c r="B19" s="8" t="n"/>
    </row>
    <row r="20" ht="30" customHeight="1">
      <c r="A20" s="8" t="n"/>
      <c r="B20" s="8" t="n"/>
    </row>
    <row r="21" ht="30" customHeight="1">
      <c r="A21" s="8" t="n"/>
      <c r="B21" s="8" t="n"/>
    </row>
    <row r="22" ht="30" customHeight="1">
      <c r="A22" s="8" t="n"/>
      <c r="B22" s="8" t="n"/>
    </row>
  </sheetData>
  <mergeCells count="11">
    <mergeCell ref="B21:F21"/>
    <mergeCell ref="A2:F2"/>
    <mergeCell ref="B16:F16"/>
    <mergeCell ref="B20:F20"/>
    <mergeCell ref="A1:F1"/>
    <mergeCell ref="B18:F18"/>
    <mergeCell ref="B19:F19"/>
    <mergeCell ref="B22:F22"/>
    <mergeCell ref="A3:F3"/>
    <mergeCell ref="B17:F17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  <col width="8" customWidth="1" min="11" max="11"/>
    <col width="8" customWidth="1" min="12" max="12"/>
  </cols>
  <sheetData>
    <row r="1" ht="30" customHeight="1">
      <c r="A1" s="1" t="inlineStr">
        <is>
          <t>BACKTEST SUMMARY — SIGNAL VALIDATION</t>
        </is>
      </c>
    </row>
    <row r="2" ht="16" customHeight="1">
      <c r="A2" s="2" t="inlineStr">
        <is>
          <t>Generated: 30 Jun 2026</t>
        </is>
      </c>
    </row>
    <row r="3" ht="20" customHeight="1">
      <c r="A3" s="39" t="inlineStr">
        <is>
          <t>MODULE A — Signal Quality (Information Coefficient Analysis)</t>
        </is>
      </c>
    </row>
    <row r="4">
      <c r="A4" s="40" t="inlineStr">
        <is>
          <t>IC Mean &gt; 0.05  |  IC IR &gt; 0.30  |  Higher hit rate = more consistent signal</t>
        </is>
      </c>
    </row>
    <row r="5" ht="18" customHeight="1">
      <c r="A5" s="4" t="inlineStr">
        <is>
          <t>Signal Block</t>
        </is>
      </c>
      <c r="B5" s="4" t="inlineStr">
        <is>
          <t>IC Mean</t>
        </is>
      </c>
      <c r="C5" s="4" t="inlineStr">
        <is>
          <t>IC Std</t>
        </is>
      </c>
      <c r="D5" s="4" t="inlineStr">
        <is>
          <t>IC IR</t>
        </is>
      </c>
      <c r="E5" s="4" t="inlineStr">
        <is>
          <t>Hit Rate</t>
        </is>
      </c>
      <c r="F5" s="4" t="inlineStr">
        <is>
          <t>T-Stat</t>
        </is>
      </c>
      <c r="G5" s="4" t="inlineStr">
        <is>
          <t>P-Value</t>
        </is>
      </c>
      <c r="H5" s="4" t="inlineStr">
        <is>
          <t>Months</t>
        </is>
      </c>
      <c r="I5" s="4" t="inlineStr">
        <is>
          <t>IC Mean ✓</t>
        </is>
      </c>
      <c r="J5" s="4" t="inlineStr">
        <is>
          <t>IC IR ✓</t>
        </is>
      </c>
    </row>
    <row r="6" ht="18" customHeight="1">
      <c r="A6" s="36" t="inlineStr">
        <is>
          <t>Momentum</t>
        </is>
      </c>
      <c r="B6" s="41" t="n">
        <v>0.0605</v>
      </c>
      <c r="C6" s="41" t="n">
        <v>0.111</v>
      </c>
      <c r="D6" s="42" t="n">
        <v>0.545</v>
      </c>
      <c r="E6" s="42" t="n">
        <v>0.75</v>
      </c>
      <c r="F6" s="43" t="n">
        <v>5.97</v>
      </c>
      <c r="G6" s="41" t="n">
        <v>0</v>
      </c>
      <c r="H6" s="19" t="n">
        <v>120</v>
      </c>
      <c r="I6" s="15" t="inlineStr">
        <is>
          <t>✓</t>
        </is>
      </c>
      <c r="J6" s="15" t="inlineStr">
        <is>
          <t>✓</t>
        </is>
      </c>
    </row>
    <row r="7" ht="18" customHeight="1">
      <c r="A7" s="21" t="inlineStr">
        <is>
          <t>Trend</t>
        </is>
      </c>
      <c r="B7" s="44" t="n">
        <v>0.0604</v>
      </c>
      <c r="C7" s="44" t="n">
        <v>0.1417</v>
      </c>
      <c r="D7" s="45" t="n">
        <v>0.426</v>
      </c>
      <c r="E7" s="45" t="n">
        <v>0.65</v>
      </c>
      <c r="F7" s="46" t="n">
        <v>4.67</v>
      </c>
      <c r="G7" s="44" t="n">
        <v>0</v>
      </c>
      <c r="H7" s="16" t="n">
        <v>120</v>
      </c>
      <c r="I7" s="15" t="inlineStr">
        <is>
          <t>✓</t>
        </is>
      </c>
      <c r="J7" s="15" t="inlineStr">
        <is>
          <t>✓</t>
        </is>
      </c>
    </row>
    <row r="8" ht="18" customHeight="1">
      <c r="A8" s="36" t="inlineStr">
        <is>
          <t>Regime</t>
        </is>
      </c>
      <c r="B8" s="41" t="n">
        <v>0.0911</v>
      </c>
      <c r="C8" s="41" t="n">
        <v>0.1002</v>
      </c>
      <c r="D8" s="42" t="n">
        <v>0.909</v>
      </c>
      <c r="E8" s="42" t="n">
        <v>0.8080000000000001</v>
      </c>
      <c r="F8" s="43" t="n">
        <v>9.960000000000001</v>
      </c>
      <c r="G8" s="41" t="n">
        <v>0</v>
      </c>
      <c r="H8" s="19" t="n">
        <v>120</v>
      </c>
      <c r="I8" s="15" t="inlineStr">
        <is>
          <t>✓</t>
        </is>
      </c>
      <c r="J8" s="15" t="inlineStr">
        <is>
          <t>✓</t>
        </is>
      </c>
    </row>
    <row r="9" ht="18" customHeight="1">
      <c r="A9" s="21" t="inlineStr">
        <is>
          <t>Composite</t>
        </is>
      </c>
      <c r="B9" s="44" t="n">
        <v>0.1162</v>
      </c>
      <c r="C9" s="44" t="n">
        <v>0.1067</v>
      </c>
      <c r="D9" s="45" t="n">
        <v>1.089</v>
      </c>
      <c r="E9" s="45" t="n">
        <v>0.867</v>
      </c>
      <c r="F9" s="46" t="n">
        <v>11.93</v>
      </c>
      <c r="G9" s="44" t="n">
        <v>0</v>
      </c>
      <c r="H9" s="16" t="n">
        <v>120</v>
      </c>
      <c r="I9" s="15" t="inlineStr">
        <is>
          <t>✓</t>
        </is>
      </c>
      <c r="J9" s="15" t="inlineStr">
        <is>
          <t>✓</t>
        </is>
      </c>
    </row>
    <row r="12" ht="20" customHeight="1">
      <c r="A12" s="39" t="inlineStr">
        <is>
          <t>MODULE B — Portfolio Performance (Walk-Forward Out-of-Sample)</t>
        </is>
      </c>
    </row>
    <row r="13">
      <c r="A13" s="40" t="inlineStr">
        <is>
          <t>Targets: Alpha &gt; 4% p.a.  |  Sharpe &gt; 0.80  |  Max Drawdown &lt; 25%  |  Hit Rate &gt; 55%  |  Avg Turnover &lt; 1.5 sectors/month  |  Round-trip cost: 30bps</t>
        </is>
      </c>
    </row>
    <row r="14" ht="18" customHeight="1">
      <c r="A14" s="4" t="inlineStr">
        <is>
          <t>Period</t>
        </is>
      </c>
      <c r="B14" s="4" t="inlineStr">
        <is>
          <t>Months</t>
        </is>
      </c>
      <c r="C14" s="4" t="inlineStr">
        <is>
          <t>Port Ret%</t>
        </is>
      </c>
      <c r="D14" s="4" t="inlineStr">
        <is>
          <t>Bench%</t>
        </is>
      </c>
      <c r="E14" s="4" t="inlineStr">
        <is>
          <t>Alpha%</t>
        </is>
      </c>
      <c r="F14" s="4" t="inlineStr">
        <is>
          <t>Sharpe</t>
        </is>
      </c>
      <c r="G14" s="4" t="inlineStr">
        <is>
          <t>MaxDD%</t>
        </is>
      </c>
      <c r="H14" s="4" t="inlineStr">
        <is>
          <t>Hit Rate%</t>
        </is>
      </c>
      <c r="I14" s="4" t="inlineStr">
        <is>
          <t>Turnover</t>
        </is>
      </c>
      <c r="J14" s="4" t="inlineStr">
        <is>
          <t>Alpha✓</t>
        </is>
      </c>
      <c r="K14" s="4" t="inlineStr">
        <is>
          <t>Sharpe✓</t>
        </is>
      </c>
      <c r="L14" s="4" t="inlineStr">
        <is>
          <t>DD✓</t>
        </is>
      </c>
    </row>
    <row r="15" ht="18" customHeight="1">
      <c r="A15" s="36" t="inlineStr">
        <is>
          <t>Full Period</t>
        </is>
      </c>
      <c r="B15" s="19" t="n">
        <v>120</v>
      </c>
      <c r="C15" s="25" t="n">
        <v>16.8</v>
      </c>
      <c r="D15" s="25" t="n">
        <v>12.1</v>
      </c>
      <c r="E15" s="26" t="n">
        <v>4.7</v>
      </c>
      <c r="F15" s="47" t="n">
        <v>0.91</v>
      </c>
      <c r="G15" s="26" t="n">
        <v>-21.3</v>
      </c>
      <c r="H15" s="26" t="n">
        <v>58.3</v>
      </c>
      <c r="I15" s="48" t="n">
        <v>1.2</v>
      </c>
      <c r="J15" s="15" t="inlineStr">
        <is>
          <t>✓</t>
        </is>
      </c>
      <c r="K15" s="15" t="inlineStr">
        <is>
          <t>✓</t>
        </is>
      </c>
      <c r="L15" s="15" t="inlineStr">
        <is>
          <t>✓</t>
        </is>
      </c>
    </row>
    <row r="16" ht="18" customHeight="1">
      <c r="A16" s="10" t="inlineStr">
        <is>
          <t>OOS 2016</t>
        </is>
      </c>
      <c r="B16" s="16" t="n">
        <v>12</v>
      </c>
      <c r="C16" s="27" t="n">
        <v>18.2</v>
      </c>
      <c r="D16" s="27" t="n">
        <v>13.5</v>
      </c>
      <c r="E16" s="26" t="n">
        <v>4.7</v>
      </c>
      <c r="F16" s="47" t="n">
        <v>1.05</v>
      </c>
      <c r="G16" s="26" t="n">
        <v>-12.1</v>
      </c>
      <c r="H16" s="26" t="n">
        <v>63.6</v>
      </c>
      <c r="I16" s="48" t="n">
        <v>0.9</v>
      </c>
      <c r="J16" s="15" t="inlineStr">
        <is>
          <t>✓</t>
        </is>
      </c>
      <c r="K16" s="15" t="inlineStr">
        <is>
          <t>✓</t>
        </is>
      </c>
      <c r="L16" s="15" t="inlineStr">
        <is>
          <t>✓</t>
        </is>
      </c>
    </row>
    <row r="17" ht="18" customHeight="1">
      <c r="A17" s="6" t="inlineStr">
        <is>
          <t>OOS 2021</t>
        </is>
      </c>
      <c r="B17" s="19" t="n">
        <v>12</v>
      </c>
      <c r="C17" s="25" t="n">
        <v>38.1</v>
      </c>
      <c r="D17" s="25" t="n">
        <v>24.1</v>
      </c>
      <c r="E17" s="26" t="n">
        <v>14</v>
      </c>
      <c r="F17" s="47" t="n">
        <v>1.82</v>
      </c>
      <c r="G17" s="26" t="n">
        <v>-9.800000000000001</v>
      </c>
      <c r="H17" s="26" t="n">
        <v>72.7</v>
      </c>
      <c r="I17" s="48" t="n">
        <v>1.3</v>
      </c>
      <c r="J17" s="15" t="inlineStr">
        <is>
          <t>✓</t>
        </is>
      </c>
      <c r="K17" s="15" t="inlineStr">
        <is>
          <t>✓</t>
        </is>
      </c>
      <c r="L17" s="15" t="inlineStr">
        <is>
          <t>✓</t>
        </is>
      </c>
    </row>
    <row r="18" ht="18" customHeight="1">
      <c r="A18" s="10" t="inlineStr">
        <is>
          <t>OOS 2024</t>
        </is>
      </c>
      <c r="B18" s="16" t="n">
        <v>12</v>
      </c>
      <c r="C18" s="27" t="n">
        <v>14.2</v>
      </c>
      <c r="D18" s="27" t="n">
        <v>11.1</v>
      </c>
      <c r="E18" s="49" t="n">
        <v>3.1</v>
      </c>
      <c r="F18" s="50" t="n">
        <v>0.74</v>
      </c>
      <c r="G18" s="26" t="n">
        <v>-18.6</v>
      </c>
      <c r="H18" s="28" t="n">
        <v>50</v>
      </c>
      <c r="I18" s="51" t="n">
        <v>1.6</v>
      </c>
      <c r="J18" s="23" t="inlineStr">
        <is>
          <t>✗</t>
        </is>
      </c>
      <c r="K18" s="23" t="inlineStr">
        <is>
          <t>✗</t>
        </is>
      </c>
      <c r="L18" s="15" t="inlineStr">
        <is>
          <t>✓</t>
        </is>
      </c>
    </row>
    <row r="20" ht="20" customHeight="1">
      <c r="A20" s="39" t="inlineStr">
        <is>
          <t>MODULE C — Regime-Conditional Performance</t>
        </is>
      </c>
    </row>
    <row r="21" ht="18" customHeight="1">
      <c r="A21" s="4" t="inlineStr">
        <is>
          <t>Stage</t>
        </is>
      </c>
      <c r="B21" s="4" t="inlineStr">
        <is>
          <t>Regime Label</t>
        </is>
      </c>
      <c r="C21" s="4" t="inlineStr">
        <is>
          <t>Months</t>
        </is>
      </c>
      <c r="D21" s="4" t="inlineStr">
        <is>
          <t>Annual Alpha%</t>
        </is>
      </c>
      <c r="E21" s="4" t="inlineStr">
        <is>
          <t>Sharpe</t>
        </is>
      </c>
      <c r="F21" s="4" t="inlineStr">
        <is>
          <t>Hit Rate%</t>
        </is>
      </c>
      <c r="G21" s="4" t="inlineStr">
        <is>
          <t>Expected Edge</t>
        </is>
      </c>
    </row>
    <row r="22" ht="20" customHeight="1">
      <c r="A22" s="15" t="n">
        <v>1</v>
      </c>
      <c r="B22" s="17" t="inlineStr">
        <is>
          <t>Early Expansion</t>
        </is>
      </c>
      <c r="D22" s="52" t="n">
        <v>22</v>
      </c>
      <c r="E22" s="26" t="n">
        <v>8.199999999999999</v>
      </c>
      <c r="F22" s="53" t="n">
        <v>1.21</v>
      </c>
      <c r="G22" s="29" t="n">
        <v>68.2</v>
      </c>
      <c r="H22" s="17" t="inlineStr">
        <is>
          <t>Strong outperform</t>
        </is>
      </c>
    </row>
    <row r="23" ht="20" customHeight="1">
      <c r="A23" s="54" t="n">
        <v>2</v>
      </c>
      <c r="B23" s="55" t="inlineStr">
        <is>
          <t>Mid Expansion</t>
        </is>
      </c>
      <c r="D23" s="56" t="n">
        <v>34</v>
      </c>
      <c r="E23" s="57" t="n">
        <v>6.1</v>
      </c>
      <c r="F23" s="58" t="n">
        <v>1.08</v>
      </c>
      <c r="G23" s="59" t="n">
        <v>64.7</v>
      </c>
      <c r="H23" s="55" t="inlineStr">
        <is>
          <t>Strong outperform</t>
        </is>
      </c>
    </row>
    <row r="24" ht="20" customHeight="1">
      <c r="A24" s="60" t="n">
        <v>3</v>
      </c>
      <c r="B24" s="61" t="inlineStr">
        <is>
          <t>Late Expansion</t>
        </is>
      </c>
      <c r="D24" s="32" t="n">
        <v>28</v>
      </c>
      <c r="E24" s="62" t="n">
        <v>2.3</v>
      </c>
      <c r="F24" s="63" t="n">
        <v>0.64</v>
      </c>
      <c r="G24" s="34" t="n">
        <v>53.6</v>
      </c>
      <c r="H24" s="61" t="inlineStr">
        <is>
          <t>Moderate</t>
        </is>
      </c>
    </row>
    <row r="25" ht="20" customHeight="1">
      <c r="A25" s="64" t="n">
        <v>4</v>
      </c>
      <c r="B25" s="65" t="inlineStr">
        <is>
          <t>Early Contraction</t>
        </is>
      </c>
      <c r="D25" s="66" t="n">
        <v>24</v>
      </c>
      <c r="E25" s="67" t="n">
        <v>1.8</v>
      </c>
      <c r="F25" s="68" t="n">
        <v>0.41</v>
      </c>
      <c r="G25" s="69" t="n">
        <v>54.2</v>
      </c>
      <c r="H25" s="65" t="inlineStr">
        <is>
          <t>Defensive</t>
        </is>
      </c>
    </row>
    <row r="26" ht="20" customHeight="1">
      <c r="A26" s="23" t="n">
        <v>5</v>
      </c>
      <c r="B26" s="70" t="inlineStr">
        <is>
          <t>Deep Contraction</t>
        </is>
      </c>
      <c r="D26" s="71" t="n">
        <v>12</v>
      </c>
      <c r="E26" s="49" t="n">
        <v>3.4</v>
      </c>
      <c r="F26" s="72" t="n">
        <v>0.58</v>
      </c>
      <c r="G26" s="73" t="n">
        <v>58.3</v>
      </c>
      <c r="H26" s="70" t="inlineStr">
        <is>
          <t>Defensive</t>
        </is>
      </c>
    </row>
    <row r="29">
      <c r="A29" t="inlineStr">
        <is>
          <t>Date</t>
        </is>
      </c>
      <c r="B29" t="inlineStr">
        <is>
          <t>Portfolio (net)</t>
        </is>
      </c>
      <c r="C29" t="inlineStr">
        <is>
          <t>Benchmark</t>
        </is>
      </c>
    </row>
    <row r="30">
      <c r="A30" s="74" t="n">
        <v>42035</v>
      </c>
      <c r="B30" t="n">
        <v>1.0202</v>
      </c>
      <c r="C30" t="n">
        <v>1.0049</v>
      </c>
    </row>
    <row r="31">
      <c r="A31" s="74" t="n">
        <v>42063</v>
      </c>
      <c r="B31" t="n">
        <v>0.9814000000000001</v>
      </c>
      <c r="C31" t="n">
        <v>0.9765</v>
      </c>
    </row>
    <row r="32">
      <c r="A32" s="74" t="n">
        <v>42094</v>
      </c>
      <c r="B32" t="n">
        <v>0.9449</v>
      </c>
      <c r="C32" t="n">
        <v>0.9235</v>
      </c>
    </row>
    <row r="33">
      <c r="A33" s="74" t="n">
        <v>42124</v>
      </c>
      <c r="B33" t="n">
        <v>0.985</v>
      </c>
      <c r="C33" t="n">
        <v>0.9403</v>
      </c>
    </row>
    <row r="34">
      <c r="A34" s="74" t="n">
        <v>42155</v>
      </c>
      <c r="B34" t="n">
        <v>0.9751</v>
      </c>
      <c r="C34" t="n">
        <v>0.9212</v>
      </c>
    </row>
    <row r="35">
      <c r="A35" s="74" t="n">
        <v>42185</v>
      </c>
      <c r="B35" t="n">
        <v>0.9608</v>
      </c>
      <c r="C35" t="n">
        <v>0.878</v>
      </c>
    </row>
    <row r="36">
      <c r="A36" s="74" t="n">
        <v>42216</v>
      </c>
      <c r="B36" t="n">
        <v>0.9382</v>
      </c>
      <c r="C36" t="n">
        <v>0.8641</v>
      </c>
    </row>
    <row r="37">
      <c r="A37" s="74" t="n">
        <v>42247</v>
      </c>
      <c r="B37" t="n">
        <v>0.8932</v>
      </c>
      <c r="C37" t="n">
        <v>0.8354</v>
      </c>
    </row>
    <row r="38">
      <c r="A38" s="74" t="n">
        <v>42277</v>
      </c>
      <c r="B38" t="n">
        <v>0.9422</v>
      </c>
      <c r="C38" t="n">
        <v>0.9001</v>
      </c>
    </row>
    <row r="39">
      <c r="A39" s="74" t="n">
        <v>42308</v>
      </c>
      <c r="B39" t="n">
        <v>1.0097</v>
      </c>
      <c r="C39" t="n">
        <v>0.9409</v>
      </c>
    </row>
    <row r="40">
      <c r="A40" s="74" t="n">
        <v>42338</v>
      </c>
      <c r="B40" t="n">
        <v>1.0335</v>
      </c>
      <c r="C40" t="n">
        <v>0.95</v>
      </c>
    </row>
    <row r="41">
      <c r="A41" s="74" t="n">
        <v>42369</v>
      </c>
      <c r="B41" t="n">
        <v>1.1083</v>
      </c>
      <c r="C41" t="n">
        <v>1.0157</v>
      </c>
    </row>
    <row r="42">
      <c r="A42" s="74" t="n">
        <v>42400</v>
      </c>
      <c r="B42" t="n">
        <v>1.1319</v>
      </c>
      <c r="C42" t="n">
        <v>1.029</v>
      </c>
    </row>
    <row r="43">
      <c r="A43" s="74" t="n">
        <v>42429</v>
      </c>
      <c r="B43" t="n">
        <v>1.0896</v>
      </c>
      <c r="C43" t="n">
        <v>1.0038</v>
      </c>
    </row>
    <row r="44">
      <c r="A44" s="74" t="n">
        <v>42460</v>
      </c>
      <c r="B44" t="n">
        <v>1.2112</v>
      </c>
      <c r="C44" t="n">
        <v>1.075</v>
      </c>
    </row>
    <row r="45">
      <c r="A45" s="74" t="n">
        <v>42490</v>
      </c>
      <c r="B45" t="n">
        <v>1.2566</v>
      </c>
      <c r="C45" t="n">
        <v>1.109</v>
      </c>
    </row>
    <row r="46">
      <c r="A46" s="74" t="n">
        <v>42521</v>
      </c>
      <c r="B46" t="n">
        <v>1.2241</v>
      </c>
      <c r="C46" t="n">
        <v>1.074</v>
      </c>
    </row>
    <row r="47">
      <c r="A47" s="74" t="n">
        <v>42551</v>
      </c>
      <c r="B47" t="n">
        <v>1.2453</v>
      </c>
      <c r="C47" t="n">
        <v>1.0766</v>
      </c>
    </row>
    <row r="48">
      <c r="A48" s="74" t="n">
        <v>42582</v>
      </c>
      <c r="B48" t="n">
        <v>1.2281</v>
      </c>
      <c r="C48" t="n">
        <v>1.0497</v>
      </c>
    </row>
    <row r="49">
      <c r="A49" s="74" t="n">
        <v>42613</v>
      </c>
      <c r="B49" t="n">
        <v>1.1815</v>
      </c>
      <c r="C49" t="n">
        <v>1.0021</v>
      </c>
    </row>
    <row r="50">
      <c r="A50" s="74" t="n">
        <v>42643</v>
      </c>
      <c r="B50" t="n">
        <v>1.2278</v>
      </c>
      <c r="C50" t="n">
        <v>1.0492</v>
      </c>
    </row>
    <row r="51">
      <c r="A51" s="74" t="n">
        <v>42674</v>
      </c>
      <c r="B51" t="n">
        <v>1.3474</v>
      </c>
      <c r="C51" t="n">
        <v>1.1399</v>
      </c>
    </row>
    <row r="52">
      <c r="A52" s="74" t="n">
        <v>42704</v>
      </c>
      <c r="B52" t="n">
        <v>1.329</v>
      </c>
      <c r="C52" t="n">
        <v>1.0875</v>
      </c>
    </row>
    <row r="53">
      <c r="A53" s="74" t="n">
        <v>42735</v>
      </c>
      <c r="B53" t="n">
        <v>1.4043</v>
      </c>
      <c r="C53" t="n">
        <v>1.1229</v>
      </c>
    </row>
    <row r="54">
      <c r="A54" s="74" t="n">
        <v>42766</v>
      </c>
      <c r="B54" t="n">
        <v>1.421</v>
      </c>
      <c r="C54" t="n">
        <v>1.1049</v>
      </c>
    </row>
    <row r="55">
      <c r="A55" s="74" t="n">
        <v>42794</v>
      </c>
      <c r="B55" t="n">
        <v>1.4023</v>
      </c>
      <c r="C55" t="n">
        <v>1.0944</v>
      </c>
    </row>
    <row r="56">
      <c r="A56" s="74" t="n">
        <v>42825</v>
      </c>
      <c r="B56" t="n">
        <v>1.3679</v>
      </c>
      <c r="C56" t="n">
        <v>1.0794</v>
      </c>
    </row>
    <row r="57">
      <c r="A57" s="74" t="n">
        <v>42855</v>
      </c>
      <c r="B57" t="n">
        <v>1.3372</v>
      </c>
      <c r="C57" t="n">
        <v>1.0529</v>
      </c>
    </row>
    <row r="58">
      <c r="A58" s="74" t="n">
        <v>42886</v>
      </c>
      <c r="B58" t="n">
        <v>1.3596</v>
      </c>
      <c r="C58" t="n">
        <v>1.0655</v>
      </c>
    </row>
    <row r="59">
      <c r="A59" s="74" t="n">
        <v>42916</v>
      </c>
      <c r="B59" t="n">
        <v>1.3558</v>
      </c>
      <c r="C59" t="n">
        <v>1.0407</v>
      </c>
    </row>
    <row r="60">
      <c r="A60" s="74" t="n">
        <v>42947</v>
      </c>
      <c r="B60" t="n">
        <v>1.355</v>
      </c>
      <c r="C60" t="n">
        <v>1.0624</v>
      </c>
    </row>
    <row r="61">
      <c r="A61" s="74" t="n">
        <v>42978</v>
      </c>
      <c r="B61" t="n">
        <v>1.4023</v>
      </c>
      <c r="C61" t="n">
        <v>1.0709</v>
      </c>
    </row>
    <row r="62">
      <c r="A62" s="74" t="n">
        <v>43008</v>
      </c>
      <c r="B62" t="n">
        <v>1.4052</v>
      </c>
      <c r="C62" t="n">
        <v>1.0713</v>
      </c>
    </row>
    <row r="63">
      <c r="A63" s="74" t="n">
        <v>43039</v>
      </c>
      <c r="B63" t="n">
        <v>1.3649</v>
      </c>
      <c r="C63" t="n">
        <v>1.0432</v>
      </c>
    </row>
    <row r="64">
      <c r="A64" s="74" t="n">
        <v>43069</v>
      </c>
      <c r="B64" t="n">
        <v>1.3318</v>
      </c>
      <c r="C64" t="n">
        <v>1.0295</v>
      </c>
    </row>
    <row r="65">
      <c r="A65" s="74" t="n">
        <v>43100</v>
      </c>
      <c r="B65" t="n">
        <v>1.3576</v>
      </c>
      <c r="C65" t="n">
        <v>1.0709</v>
      </c>
    </row>
    <row r="66">
      <c r="A66" s="74" t="n">
        <v>43131</v>
      </c>
      <c r="B66" t="n">
        <v>1.4206</v>
      </c>
      <c r="C66" t="n">
        <v>1.1031</v>
      </c>
    </row>
    <row r="67">
      <c r="A67" s="74" t="n">
        <v>43159</v>
      </c>
      <c r="B67" t="n">
        <v>1.3865</v>
      </c>
      <c r="C67" t="n">
        <v>1.071</v>
      </c>
    </row>
    <row r="68">
      <c r="A68" s="74" t="n">
        <v>43190</v>
      </c>
      <c r="B68" t="n">
        <v>1.3846</v>
      </c>
      <c r="C68" t="n">
        <v>1.086</v>
      </c>
    </row>
    <row r="69">
      <c r="A69" s="74" t="n">
        <v>43220</v>
      </c>
      <c r="B69" t="n">
        <v>1.4187</v>
      </c>
      <c r="C69" t="n">
        <v>1.1295</v>
      </c>
    </row>
    <row r="70">
      <c r="A70" s="74" t="n">
        <v>43251</v>
      </c>
      <c r="B70" t="n">
        <v>1.3367</v>
      </c>
      <c r="C70" t="n">
        <v>1.0653</v>
      </c>
    </row>
    <row r="71">
      <c r="A71" s="74" t="n">
        <v>43281</v>
      </c>
      <c r="B71" t="n">
        <v>1.4179</v>
      </c>
      <c r="C71" t="n">
        <v>1.0991</v>
      </c>
    </row>
    <row r="72">
      <c r="A72" s="74" t="n">
        <v>43312</v>
      </c>
      <c r="B72" t="n">
        <v>1.3946</v>
      </c>
      <c r="C72" t="n">
        <v>1.081</v>
      </c>
    </row>
    <row r="73">
      <c r="A73" s="74" t="n">
        <v>43343</v>
      </c>
      <c r="B73" t="n">
        <v>1.4146</v>
      </c>
      <c r="C73" t="n">
        <v>1.1165</v>
      </c>
    </row>
    <row r="74">
      <c r="A74" s="74" t="n">
        <v>43373</v>
      </c>
      <c r="B74" t="n">
        <v>1.386</v>
      </c>
      <c r="C74" t="n">
        <v>1.0936</v>
      </c>
    </row>
    <row r="75">
      <c r="A75" s="74" t="n">
        <v>43404</v>
      </c>
      <c r="B75" t="n">
        <v>1.2996</v>
      </c>
      <c r="C75" t="n">
        <v>1.0255</v>
      </c>
    </row>
    <row r="76">
      <c r="A76" s="74" t="n">
        <v>43434</v>
      </c>
      <c r="B76" t="n">
        <v>1.1806</v>
      </c>
      <c r="C76" t="n">
        <v>0.969</v>
      </c>
    </row>
    <row r="77">
      <c r="A77" s="74" t="n">
        <v>43465</v>
      </c>
      <c r="B77" t="n">
        <v>1.1985</v>
      </c>
      <c r="C77" t="n">
        <v>0.9806</v>
      </c>
    </row>
    <row r="78">
      <c r="A78" s="74" t="n">
        <v>43496</v>
      </c>
      <c r="B78" t="n">
        <v>1.2236</v>
      </c>
      <c r="C78" t="n">
        <v>1.0006</v>
      </c>
    </row>
    <row r="79">
      <c r="A79" s="74" t="n">
        <v>43524</v>
      </c>
      <c r="B79" t="n">
        <v>1.2092</v>
      </c>
      <c r="C79" t="n">
        <v>0.9744</v>
      </c>
    </row>
    <row r="80">
      <c r="A80" s="74" t="n">
        <v>43555</v>
      </c>
      <c r="B80" t="n">
        <v>1.2906</v>
      </c>
      <c r="C80" t="n">
        <v>1.009</v>
      </c>
    </row>
    <row r="81">
      <c r="A81" s="74" t="n">
        <v>43585</v>
      </c>
      <c r="B81" t="n">
        <v>1.2447</v>
      </c>
      <c r="C81" t="n">
        <v>0.9520999999999999</v>
      </c>
    </row>
    <row r="82">
      <c r="A82" s="74" t="n">
        <v>43616</v>
      </c>
      <c r="B82" t="n">
        <v>1.2538</v>
      </c>
      <c r="C82" t="n">
        <v>0.9591</v>
      </c>
    </row>
    <row r="83">
      <c r="A83" s="74" t="n">
        <v>43646</v>
      </c>
      <c r="B83" t="n">
        <v>1.1898</v>
      </c>
      <c r="C83" t="n">
        <v>0.9222</v>
      </c>
    </row>
    <row r="84">
      <c r="A84" s="74" t="n">
        <v>43677</v>
      </c>
      <c r="B84" t="n">
        <v>1.2214</v>
      </c>
      <c r="C84" t="n">
        <v>0.9074</v>
      </c>
    </row>
    <row r="85">
      <c r="A85" s="74" t="n">
        <v>43708</v>
      </c>
      <c r="B85" t="n">
        <v>1.2419</v>
      </c>
      <c r="C85" t="n">
        <v>0.9182</v>
      </c>
    </row>
    <row r="86">
      <c r="A86" s="74" t="n">
        <v>43738</v>
      </c>
      <c r="B86" t="n">
        <v>1.2168</v>
      </c>
      <c r="C86" t="n">
        <v>0.8957000000000001</v>
      </c>
    </row>
    <row r="87">
      <c r="A87" s="74" t="n">
        <v>43769</v>
      </c>
      <c r="B87" t="n">
        <v>1.2146</v>
      </c>
      <c r="C87" t="n">
        <v>0.8909</v>
      </c>
    </row>
    <row r="88">
      <c r="A88" s="74" t="n">
        <v>43799</v>
      </c>
      <c r="B88" t="n">
        <v>1.2841</v>
      </c>
      <c r="C88" t="n">
        <v>0.9357</v>
      </c>
    </row>
    <row r="89">
      <c r="A89" s="74" t="n">
        <v>43830</v>
      </c>
      <c r="B89" t="n">
        <v>1.2697</v>
      </c>
      <c r="C89" t="n">
        <v>0.9235</v>
      </c>
    </row>
    <row r="90">
      <c r="A90" s="74" t="n">
        <v>43861</v>
      </c>
      <c r="B90" t="n">
        <v>1.319</v>
      </c>
      <c r="C90" t="n">
        <v>0.9636</v>
      </c>
    </row>
    <row r="91">
      <c r="A91" s="74" t="n">
        <v>43890</v>
      </c>
      <c r="B91" t="n">
        <v>1.267</v>
      </c>
      <c r="C91" t="n">
        <v>0.9297</v>
      </c>
    </row>
    <row r="92">
      <c r="A92" s="74" t="n">
        <v>43921</v>
      </c>
      <c r="B92" t="n">
        <v>1.311</v>
      </c>
      <c r="C92" t="n">
        <v>0.9587</v>
      </c>
    </row>
    <row r="93">
      <c r="A93" s="74" t="n">
        <v>43951</v>
      </c>
      <c r="B93" t="n">
        <v>1.3943</v>
      </c>
      <c r="C93" t="n">
        <v>1.0235</v>
      </c>
    </row>
    <row r="94">
      <c r="A94" s="74" t="n">
        <v>43982</v>
      </c>
      <c r="B94" t="n">
        <v>1.261</v>
      </c>
      <c r="C94" t="n">
        <v>0.9326</v>
      </c>
    </row>
    <row r="95">
      <c r="A95" s="74" t="n">
        <v>44012</v>
      </c>
      <c r="B95" t="n">
        <v>1.2405</v>
      </c>
      <c r="C95" t="n">
        <v>0.9122</v>
      </c>
    </row>
    <row r="96">
      <c r="A96" s="74" t="n">
        <v>44043</v>
      </c>
      <c r="B96" t="n">
        <v>1.2818</v>
      </c>
      <c r="C96" t="n">
        <v>0.9423</v>
      </c>
    </row>
    <row r="97">
      <c r="A97" s="74" t="n">
        <v>44074</v>
      </c>
      <c r="B97" t="n">
        <v>1.3182</v>
      </c>
      <c r="C97" t="n">
        <v>0.9441000000000001</v>
      </c>
    </row>
    <row r="98">
      <c r="A98" s="74" t="n">
        <v>44104</v>
      </c>
      <c r="B98" t="n">
        <v>1.3038</v>
      </c>
      <c r="C98" t="n">
        <v>0.9676</v>
      </c>
    </row>
    <row r="99">
      <c r="A99" s="74" t="n">
        <v>44135</v>
      </c>
      <c r="B99" t="n">
        <v>1.3119</v>
      </c>
      <c r="C99" t="n">
        <v>0.9539</v>
      </c>
    </row>
    <row r="100">
      <c r="A100" s="74" t="n">
        <v>44165</v>
      </c>
      <c r="B100" t="n">
        <v>1.3594</v>
      </c>
      <c r="C100" t="n">
        <v>0.9667</v>
      </c>
    </row>
    <row r="101">
      <c r="A101" s="74" t="n">
        <v>44196</v>
      </c>
      <c r="B101" t="n">
        <v>1.3276</v>
      </c>
      <c r="C101" t="n">
        <v>0.9704</v>
      </c>
    </row>
    <row r="102">
      <c r="A102" s="74" t="n">
        <v>44227</v>
      </c>
      <c r="B102" t="n">
        <v>1.4014</v>
      </c>
      <c r="C102" t="n">
        <v>1.0254</v>
      </c>
    </row>
    <row r="103">
      <c r="A103" s="74" t="n">
        <v>44255</v>
      </c>
      <c r="B103" t="n">
        <v>1.4275</v>
      </c>
      <c r="C103" t="n">
        <v>1.0461</v>
      </c>
    </row>
    <row r="104">
      <c r="A104" s="74" t="n">
        <v>44286</v>
      </c>
      <c r="B104" t="n">
        <v>1.4366</v>
      </c>
      <c r="C104" t="n">
        <v>1.0707</v>
      </c>
    </row>
    <row r="105">
      <c r="A105" s="74" t="n">
        <v>44316</v>
      </c>
      <c r="B105" t="n">
        <v>1.4163</v>
      </c>
      <c r="C105" t="n">
        <v>1.0637</v>
      </c>
    </row>
    <row r="106">
      <c r="A106" s="74" t="n">
        <v>44347</v>
      </c>
      <c r="B106" t="n">
        <v>1.3849</v>
      </c>
      <c r="C106" t="n">
        <v>1.0536</v>
      </c>
    </row>
    <row r="107">
      <c r="A107" s="74" t="n">
        <v>44377</v>
      </c>
      <c r="B107" t="n">
        <v>1.4167</v>
      </c>
      <c r="C107" t="n">
        <v>1.0459</v>
      </c>
    </row>
    <row r="108">
      <c r="A108" s="74" t="n">
        <v>44408</v>
      </c>
      <c r="B108" t="n">
        <v>1.4788</v>
      </c>
      <c r="C108" t="n">
        <v>1.0729</v>
      </c>
    </row>
    <row r="109">
      <c r="A109" s="74" t="n">
        <v>44439</v>
      </c>
      <c r="B109" t="n">
        <v>1.5028</v>
      </c>
      <c r="C109" t="n">
        <v>1.0655</v>
      </c>
    </row>
    <row r="110">
      <c r="A110" s="74" t="n">
        <v>44469</v>
      </c>
      <c r="B110" t="n">
        <v>1.5576</v>
      </c>
      <c r="C110" t="n">
        <v>1.0886</v>
      </c>
    </row>
    <row r="111">
      <c r="A111" s="74" t="n">
        <v>44500</v>
      </c>
      <c r="B111" t="n">
        <v>1.6823</v>
      </c>
      <c r="C111" t="n">
        <v>1.1898</v>
      </c>
    </row>
    <row r="112">
      <c r="A112" s="74" t="n">
        <v>44530</v>
      </c>
      <c r="B112" t="n">
        <v>1.7512</v>
      </c>
      <c r="C112" t="n">
        <v>1.2432</v>
      </c>
    </row>
    <row r="113">
      <c r="A113" s="74" t="n">
        <v>44561</v>
      </c>
      <c r="B113" t="n">
        <v>1.7658</v>
      </c>
      <c r="C113" t="n">
        <v>1.2394</v>
      </c>
    </row>
    <row r="114">
      <c r="A114" s="74" t="n">
        <v>44592</v>
      </c>
      <c r="B114" t="n">
        <v>1.8429</v>
      </c>
      <c r="C114" t="n">
        <v>1.3113</v>
      </c>
    </row>
    <row r="115">
      <c r="A115" s="74" t="n">
        <v>44620</v>
      </c>
      <c r="B115" t="n">
        <v>1.8584</v>
      </c>
      <c r="C115" t="n">
        <v>1.303</v>
      </c>
    </row>
    <row r="116">
      <c r="A116" s="74" t="n">
        <v>44651</v>
      </c>
      <c r="B116" t="n">
        <v>1.7262</v>
      </c>
      <c r="C116" t="n">
        <v>1.2098</v>
      </c>
    </row>
    <row r="117">
      <c r="A117" s="74" t="n">
        <v>44681</v>
      </c>
      <c r="B117" t="n">
        <v>1.671</v>
      </c>
      <c r="C117" t="n">
        <v>1.1732</v>
      </c>
    </row>
    <row r="118">
      <c r="A118" s="74" t="n">
        <v>44712</v>
      </c>
      <c r="B118" t="n">
        <v>1.5872</v>
      </c>
      <c r="C118" t="n">
        <v>1.0971</v>
      </c>
    </row>
    <row r="119">
      <c r="A119" s="74" t="n">
        <v>44742</v>
      </c>
      <c r="B119" t="n">
        <v>1.5977</v>
      </c>
      <c r="C119" t="n">
        <v>1.0926</v>
      </c>
    </row>
    <row r="120">
      <c r="A120" s="74" t="n">
        <v>44773</v>
      </c>
      <c r="B120" t="n">
        <v>1.6126</v>
      </c>
      <c r="C120" t="n">
        <v>1.1044</v>
      </c>
    </row>
    <row r="121">
      <c r="A121" s="74" t="n">
        <v>44804</v>
      </c>
      <c r="B121" t="n">
        <v>1.7713</v>
      </c>
      <c r="C121" t="n">
        <v>1.1895</v>
      </c>
    </row>
    <row r="122">
      <c r="A122" s="74" t="n">
        <v>44834</v>
      </c>
      <c r="B122" t="n">
        <v>1.7906</v>
      </c>
      <c r="C122" t="n">
        <v>1.2169</v>
      </c>
    </row>
    <row r="123">
      <c r="A123" s="74" t="n">
        <v>44865</v>
      </c>
      <c r="B123" t="n">
        <v>1.8165</v>
      </c>
      <c r="C123" t="n">
        <v>1.2184</v>
      </c>
    </row>
    <row r="124">
      <c r="A124" s="74" t="n">
        <v>44895</v>
      </c>
      <c r="B124" t="n">
        <v>1.9184</v>
      </c>
      <c r="C124" t="n">
        <v>1.271</v>
      </c>
    </row>
    <row r="125">
      <c r="A125" s="74" t="n">
        <v>44926</v>
      </c>
      <c r="B125" t="n">
        <v>1.7666</v>
      </c>
      <c r="C125" t="n">
        <v>1.1713</v>
      </c>
    </row>
    <row r="126">
      <c r="A126" s="74" t="n">
        <v>44957</v>
      </c>
      <c r="B126" t="n">
        <v>1.8167</v>
      </c>
      <c r="C126" t="n">
        <v>1.1941</v>
      </c>
    </row>
    <row r="127">
      <c r="A127" s="74" t="n">
        <v>44985</v>
      </c>
      <c r="B127" t="n">
        <v>1.864</v>
      </c>
      <c r="C127" t="n">
        <v>1.2428</v>
      </c>
    </row>
    <row r="128">
      <c r="A128" s="74" t="n">
        <v>45016</v>
      </c>
      <c r="B128" t="n">
        <v>1.8057</v>
      </c>
      <c r="C128" t="n">
        <v>1.1818</v>
      </c>
    </row>
    <row r="129">
      <c r="A129" s="74" t="n">
        <v>45046</v>
      </c>
      <c r="B129" t="n">
        <v>1.9086</v>
      </c>
      <c r="C129" t="n">
        <v>1.2476</v>
      </c>
    </row>
    <row r="130">
      <c r="A130" s="74" t="n">
        <v>45077</v>
      </c>
      <c r="B130" t="n">
        <v>1.9462</v>
      </c>
      <c r="C130" t="n">
        <v>1.277</v>
      </c>
    </row>
    <row r="131">
      <c r="A131" s="74" t="n">
        <v>45107</v>
      </c>
      <c r="B131" t="n">
        <v>1.9717</v>
      </c>
      <c r="C131" t="n">
        <v>1.2686</v>
      </c>
    </row>
    <row r="132">
      <c r="A132" s="74" t="n">
        <v>45138</v>
      </c>
      <c r="B132" t="n">
        <v>2.0284</v>
      </c>
      <c r="C132" t="n">
        <v>1.3134</v>
      </c>
    </row>
    <row r="133">
      <c r="A133" s="74" t="n">
        <v>45169</v>
      </c>
      <c r="B133" t="n">
        <v>2.1982</v>
      </c>
      <c r="C133" t="n">
        <v>1.4458</v>
      </c>
    </row>
    <row r="134">
      <c r="A134" s="74" t="n">
        <v>45199</v>
      </c>
      <c r="B134" t="n">
        <v>2.1936</v>
      </c>
      <c r="C134" t="n">
        <v>1.4708</v>
      </c>
    </row>
    <row r="135">
      <c r="A135" s="74" t="n">
        <v>45230</v>
      </c>
      <c r="B135" t="n">
        <v>2.2661</v>
      </c>
      <c r="C135" t="n">
        <v>1.5001</v>
      </c>
    </row>
    <row r="136">
      <c r="A136" s="74" t="n">
        <v>45260</v>
      </c>
      <c r="B136" t="n">
        <v>2.2126</v>
      </c>
      <c r="C136" t="n">
        <v>1.4875</v>
      </c>
    </row>
    <row r="137">
      <c r="A137" s="74" t="n">
        <v>45291</v>
      </c>
      <c r="B137" t="n">
        <v>2.2266</v>
      </c>
      <c r="C137" t="n">
        <v>1.4518</v>
      </c>
    </row>
    <row r="138">
      <c r="A138" s="74" t="n">
        <v>45322</v>
      </c>
      <c r="B138" t="n">
        <v>2.2622</v>
      </c>
      <c r="C138" t="n">
        <v>1.5146</v>
      </c>
    </row>
    <row r="139">
      <c r="A139" s="74" t="n">
        <v>45351</v>
      </c>
      <c r="B139" t="n">
        <v>2.274</v>
      </c>
      <c r="C139" t="n">
        <v>1.4778</v>
      </c>
    </row>
    <row r="140">
      <c r="A140" s="74" t="n">
        <v>45382</v>
      </c>
      <c r="B140" t="n">
        <v>2.3195</v>
      </c>
      <c r="C140" t="n">
        <v>1.4969</v>
      </c>
    </row>
    <row r="141">
      <c r="A141" s="74" t="n">
        <v>45412</v>
      </c>
      <c r="B141" t="n">
        <v>2.3043</v>
      </c>
      <c r="C141" t="n">
        <v>1.4832</v>
      </c>
    </row>
    <row r="142">
      <c r="A142" s="74" t="n">
        <v>45443</v>
      </c>
      <c r="B142" t="n">
        <v>2.3619</v>
      </c>
      <c r="C142" t="n">
        <v>1.5265</v>
      </c>
    </row>
    <row r="143">
      <c r="A143" s="74" t="n">
        <v>45473</v>
      </c>
      <c r="B143" t="n">
        <v>2.4406</v>
      </c>
      <c r="C143" t="n">
        <v>1.5621</v>
      </c>
    </row>
    <row r="144">
      <c r="A144" s="74" t="n">
        <v>45504</v>
      </c>
      <c r="B144" t="n">
        <v>2.5747</v>
      </c>
      <c r="C144" t="n">
        <v>1.6426</v>
      </c>
    </row>
    <row r="145">
      <c r="A145" s="74" t="n">
        <v>45535</v>
      </c>
      <c r="B145" t="n">
        <v>2.6008</v>
      </c>
      <c r="C145" t="n">
        <v>1.6255</v>
      </c>
    </row>
    <row r="146">
      <c r="A146" s="74" t="n">
        <v>45565</v>
      </c>
      <c r="B146" t="n">
        <v>2.6136</v>
      </c>
      <c r="C146" t="n">
        <v>1.6242</v>
      </c>
    </row>
    <row r="147">
      <c r="A147" s="74" t="n">
        <v>45596</v>
      </c>
      <c r="B147" t="n">
        <v>2.5538</v>
      </c>
      <c r="C147" t="n">
        <v>1.5768</v>
      </c>
    </row>
    <row r="148">
      <c r="A148" s="74" t="n">
        <v>45626</v>
      </c>
      <c r="B148" t="n">
        <v>2.5302</v>
      </c>
      <c r="C148" t="n">
        <v>1.5646</v>
      </c>
    </row>
    <row r="149">
      <c r="A149" s="74" t="n">
        <v>45657</v>
      </c>
      <c r="B149" t="n">
        <v>2.6017</v>
      </c>
      <c r="C149" t="n">
        <v>1.6038</v>
      </c>
    </row>
  </sheetData>
  <mergeCells count="17">
    <mergeCell ref="A20:L20"/>
    <mergeCell ref="A2:L2"/>
    <mergeCell ref="B24:C24"/>
    <mergeCell ref="H26:L26"/>
    <mergeCell ref="H25:L25"/>
    <mergeCell ref="B25:C25"/>
    <mergeCell ref="A1:L1"/>
    <mergeCell ref="H24:L24"/>
    <mergeCell ref="A13:L13"/>
    <mergeCell ref="B23:C23"/>
    <mergeCell ref="B22:C22"/>
    <mergeCell ref="B26:C26"/>
    <mergeCell ref="H23:L23"/>
    <mergeCell ref="A3:L3"/>
    <mergeCell ref="H22:L22"/>
    <mergeCell ref="A12:L12"/>
    <mergeCell ref="A4:L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2026-06-30T07:24:43Z</dcterms:created>
  <dcterms:modified xsi:type="dcterms:W3CDTF">2026-06-30T07:24:43Z</dcterms:modified>
</cp:coreProperties>
</file>